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renzosala/Develop/personal/tokeniko/doc/"/>
    </mc:Choice>
  </mc:AlternateContent>
  <xr:revisionPtr revIDLastSave="0" documentId="13_ncr:1_{FBAF464E-8D0F-5545-B872-50397C7AB13C}" xr6:coauthVersionLast="47" xr6:coauthVersionMax="47" xr10:uidLastSave="{00000000-0000-0000-0000-000000000000}"/>
  <bookViews>
    <workbookView xWindow="0" yWindow="780" windowWidth="36000" windowHeight="22600" activeTab="11" xr2:uid="{ED098269-B10A-E440-BCE3-AF4955707036}"/>
  </bookViews>
  <sheets>
    <sheet name="General schema" sheetId="1" r:id="rId1"/>
    <sheet name="Key Concepts" sheetId="3" r:id="rId2"/>
    <sheet name="LL" sheetId="5" r:id="rId3"/>
    <sheet name="Components" sheetId="6" r:id="rId4"/>
    <sheet name="Test sheet Similarity" sheetId="4" r:id="rId5"/>
    <sheet name="Test sheet LL" sheetId="7" r:id="rId6"/>
    <sheet name="Compiler" sheetId="8" r:id="rId7"/>
    <sheet name="Examples" sheetId="9" r:id="rId8"/>
    <sheet name="Problems" sheetId="10" r:id="rId9"/>
    <sheet name="Next step" sheetId="11" r:id="rId10"/>
    <sheet name="Inconsistencies" sheetId="12" r:id="rId11"/>
    <sheet name="TKZIP2"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2" i="5" l="1"/>
  <c r="D83" i="5"/>
  <c r="D84" i="5"/>
  <c r="D85" i="5"/>
  <c r="D86" i="5"/>
  <c r="D87" i="5"/>
  <c r="D88" i="5"/>
  <c r="D89" i="5"/>
  <c r="C89" i="5"/>
  <c r="C88" i="5"/>
  <c r="C87" i="5"/>
  <c r="C86" i="5"/>
  <c r="C85" i="5"/>
  <c r="C84" i="5"/>
  <c r="C83" i="5"/>
  <c r="C82" i="5"/>
  <c r="L79" i="5"/>
  <c r="L89" i="5" s="1"/>
  <c r="L78" i="5"/>
  <c r="L88" i="5" s="1"/>
  <c r="L77" i="5"/>
  <c r="L87" i="5" s="1"/>
  <c r="L76" i="5"/>
  <c r="L86" i="5" s="1"/>
  <c r="L75" i="5"/>
  <c r="L85" i="5" s="1"/>
  <c r="L74" i="5"/>
  <c r="L84" i="5" s="1"/>
  <c r="L73" i="5"/>
  <c r="L83" i="5" s="1"/>
  <c r="L72" i="5"/>
  <c r="L82" i="5" s="1"/>
  <c r="K79" i="5"/>
  <c r="K89" i="5" s="1"/>
  <c r="K78" i="5"/>
  <c r="K88" i="5" s="1"/>
  <c r="K77" i="5"/>
  <c r="K87" i="5" s="1"/>
  <c r="K76" i="5"/>
  <c r="K86" i="5" s="1"/>
  <c r="K75" i="5"/>
  <c r="K85" i="5" s="1"/>
  <c r="K74" i="5"/>
  <c r="K84" i="5" s="1"/>
  <c r="K73" i="5"/>
  <c r="K83" i="5" s="1"/>
  <c r="K72" i="5"/>
  <c r="K82" i="5" s="1"/>
  <c r="J79" i="5"/>
  <c r="J89" i="5" s="1"/>
  <c r="J78" i="5"/>
  <c r="J88" i="5" s="1"/>
  <c r="J77" i="5"/>
  <c r="J87" i="5" s="1"/>
  <c r="J76" i="5"/>
  <c r="J86" i="5" s="1"/>
  <c r="J75" i="5"/>
  <c r="J85" i="5" s="1"/>
  <c r="J74" i="5"/>
  <c r="J84" i="5" s="1"/>
  <c r="J73" i="5"/>
  <c r="J83" i="5" s="1"/>
  <c r="J72" i="5"/>
  <c r="J82" i="5" s="1"/>
  <c r="I79" i="5"/>
  <c r="I89" i="5" s="1"/>
  <c r="I78" i="5"/>
  <c r="I88" i="5" s="1"/>
  <c r="I77" i="5"/>
  <c r="I87" i="5" s="1"/>
  <c r="I76" i="5"/>
  <c r="I86" i="5" s="1"/>
  <c r="I75" i="5"/>
  <c r="I85" i="5" s="1"/>
  <c r="I74" i="5"/>
  <c r="I84" i="5" s="1"/>
  <c r="I73" i="5"/>
  <c r="I83" i="5" s="1"/>
  <c r="I72" i="5"/>
  <c r="I82" i="5" s="1"/>
  <c r="H79" i="5"/>
  <c r="H89" i="5" s="1"/>
  <c r="H78" i="5"/>
  <c r="H88" i="5" s="1"/>
  <c r="H77" i="5"/>
  <c r="H87" i="5" s="1"/>
  <c r="H76" i="5"/>
  <c r="H86" i="5" s="1"/>
  <c r="H75" i="5"/>
  <c r="H85" i="5" s="1"/>
  <c r="H74" i="5"/>
  <c r="H84" i="5" s="1"/>
  <c r="H73" i="5"/>
  <c r="H83" i="5" s="1"/>
  <c r="H72" i="5"/>
  <c r="H82" i="5" s="1"/>
  <c r="E79" i="5"/>
  <c r="E89" i="5" s="1"/>
  <c r="E78" i="5"/>
  <c r="E88" i="5" s="1"/>
  <c r="E77" i="5"/>
  <c r="E87" i="5" s="1"/>
  <c r="E76" i="5"/>
  <c r="E86" i="5" s="1"/>
  <c r="E75" i="5"/>
  <c r="E85" i="5" s="1"/>
  <c r="E74" i="5"/>
  <c r="E84" i="5" s="1"/>
  <c r="E73" i="5"/>
  <c r="E83" i="5" s="1"/>
  <c r="E72" i="5"/>
  <c r="E82" i="5" s="1"/>
  <c r="G79" i="5"/>
  <c r="G89" i="5" s="1"/>
  <c r="G78" i="5"/>
  <c r="G88" i="5" s="1"/>
  <c r="G77" i="5"/>
  <c r="G87" i="5" s="1"/>
  <c r="G76" i="5"/>
  <c r="G86" i="5" s="1"/>
  <c r="G75" i="5"/>
  <c r="G85" i="5" s="1"/>
  <c r="G74" i="5"/>
  <c r="G84" i="5" s="1"/>
  <c r="G73" i="5"/>
  <c r="G83" i="5" s="1"/>
  <c r="G72" i="5"/>
  <c r="G82" i="5" s="1"/>
  <c r="F78" i="5"/>
  <c r="F88" i="5" s="1"/>
  <c r="F79" i="5"/>
  <c r="F89" i="5" s="1"/>
  <c r="F77" i="5"/>
  <c r="F87" i="5" s="1"/>
  <c r="F76" i="5"/>
  <c r="F86" i="5" s="1"/>
  <c r="F69" i="5"/>
  <c r="F68" i="5"/>
  <c r="F67" i="5"/>
  <c r="F66" i="5"/>
  <c r="F75" i="5"/>
  <c r="F85" i="5" s="1"/>
  <c r="F74" i="5"/>
  <c r="F84" i="5" s="1"/>
  <c r="F73" i="5"/>
  <c r="F83" i="5" s="1"/>
  <c r="F72" i="5"/>
  <c r="F82" i="5" s="1"/>
  <c r="I69" i="5"/>
  <c r="I68" i="5"/>
  <c r="I67" i="5"/>
  <c r="I66" i="5"/>
  <c r="H69" i="5"/>
  <c r="H68" i="5"/>
  <c r="H67" i="5"/>
  <c r="H66" i="5"/>
  <c r="G67" i="5"/>
  <c r="G68" i="5"/>
  <c r="G69" i="5"/>
  <c r="E67" i="5"/>
  <c r="E68" i="5"/>
  <c r="E69" i="5"/>
  <c r="G66" i="5"/>
  <c r="E66" i="5"/>
  <c r="AD42" i="4"/>
  <c r="AG42" i="4" s="1"/>
  <c r="AB42" i="4"/>
  <c r="AC42" i="4" s="1"/>
  <c r="Z42" i="4"/>
  <c r="AA42" i="4" s="1"/>
  <c r="X42" i="4"/>
  <c r="Y42" i="4" s="1"/>
  <c r="W42" i="4"/>
  <c r="AD41" i="4"/>
  <c r="AG41" i="4" s="1"/>
  <c r="AB41" i="4"/>
  <c r="AC41" i="4" s="1"/>
  <c r="Z41" i="4"/>
  <c r="AA41" i="4" s="1"/>
  <c r="X41" i="4"/>
  <c r="Y41" i="4" s="1"/>
  <c r="W41" i="4"/>
  <c r="AF40" i="4"/>
  <c r="AE40" i="4"/>
  <c r="AD40" i="4"/>
  <c r="AG40" i="4" s="1"/>
  <c r="AC40" i="4"/>
  <c r="AB40" i="4"/>
  <c r="Z40" i="4"/>
  <c r="X40" i="4"/>
  <c r="Y40" i="4" s="1"/>
  <c r="W40" i="4"/>
  <c r="AA40" i="4" s="1"/>
  <c r="AF38" i="4"/>
  <c r="AD38" i="4"/>
  <c r="AG38" i="4" s="1"/>
  <c r="AB38" i="4"/>
  <c r="AC38" i="4" s="1"/>
  <c r="Z38" i="4"/>
  <c r="AA38" i="4" s="1"/>
  <c r="X38" i="4"/>
  <c r="Y38" i="4" s="1"/>
  <c r="W38" i="4"/>
  <c r="AF37" i="4"/>
  <c r="AD37" i="4"/>
  <c r="AG37" i="4" s="1"/>
  <c r="AB37" i="4"/>
  <c r="AC37" i="4" s="1"/>
  <c r="Z37" i="4"/>
  <c r="AA37" i="4" s="1"/>
  <c r="X37" i="4"/>
  <c r="Y37" i="4" s="1"/>
  <c r="W37" i="4"/>
  <c r="AD36" i="4"/>
  <c r="AF36" i="4" s="1"/>
  <c r="AB36" i="4"/>
  <c r="AC36" i="4" s="1"/>
  <c r="Z36" i="4"/>
  <c r="AA36" i="4" s="1"/>
  <c r="X36" i="4"/>
  <c r="Y36" i="4" s="1"/>
  <c r="W36" i="4"/>
  <c r="AD35" i="4"/>
  <c r="AF35" i="4" s="1"/>
  <c r="AB35" i="4"/>
  <c r="AC35" i="4" s="1"/>
  <c r="Z35" i="4"/>
  <c r="AA35" i="4" s="1"/>
  <c r="X35" i="4"/>
  <c r="Y35" i="4" s="1"/>
  <c r="W35" i="4"/>
  <c r="C35" i="4"/>
  <c r="C36" i="4" s="1"/>
  <c r="C37" i="4" s="1"/>
  <c r="AF34" i="4"/>
  <c r="AD34" i="4"/>
  <c r="AG34" i="4" s="1"/>
  <c r="AB34" i="4"/>
  <c r="AC34" i="4" s="1"/>
  <c r="Z34" i="4"/>
  <c r="AA34" i="4" s="1"/>
  <c r="X34" i="4"/>
  <c r="Y34" i="4" s="1"/>
  <c r="W34" i="4"/>
  <c r="AG33" i="4"/>
  <c r="AE33" i="4"/>
  <c r="AD33" i="4"/>
  <c r="AF33" i="4" s="1"/>
  <c r="AC33" i="4"/>
  <c r="AB33" i="4"/>
  <c r="Z33" i="4"/>
  <c r="AA33" i="4" s="1"/>
  <c r="X33" i="4"/>
  <c r="W33" i="4"/>
  <c r="Y33" i="4" s="1"/>
  <c r="G33" i="4"/>
  <c r="G32" i="4"/>
  <c r="AF31" i="4"/>
  <c r="AD31" i="4"/>
  <c r="AG31" i="4" s="1"/>
  <c r="AB31" i="4"/>
  <c r="AC31" i="4" s="1"/>
  <c r="Z31" i="4"/>
  <c r="AA31" i="4" s="1"/>
  <c r="X31" i="4"/>
  <c r="Y31" i="4" s="1"/>
  <c r="W31" i="4"/>
  <c r="AG30" i="4"/>
  <c r="AD30" i="4"/>
  <c r="AE30" i="4" s="1"/>
  <c r="AC30" i="4"/>
  <c r="AB30" i="4"/>
  <c r="Z30" i="4"/>
  <c r="AA30" i="4" s="1"/>
  <c r="Y30" i="4"/>
  <c r="X30" i="4"/>
  <c r="W30" i="4"/>
  <c r="AD29" i="4"/>
  <c r="AF29" i="4" s="1"/>
  <c r="AB29" i="4"/>
  <c r="AC29" i="4" s="1"/>
  <c r="Z29" i="4"/>
  <c r="AA29" i="4" s="1"/>
  <c r="X29" i="4"/>
  <c r="Y29" i="4" s="1"/>
  <c r="W29" i="4"/>
  <c r="AE28" i="4"/>
  <c r="AD28" i="4"/>
  <c r="AG28" i="4" s="1"/>
  <c r="AB28" i="4"/>
  <c r="AC28" i="4" s="1"/>
  <c r="AA28" i="4"/>
  <c r="Z28" i="4"/>
  <c r="Y28" i="4"/>
  <c r="X28" i="4"/>
  <c r="W28" i="4"/>
  <c r="AD27" i="4"/>
  <c r="AE27" i="4" s="1"/>
  <c r="AC27" i="4"/>
  <c r="AB27" i="4"/>
  <c r="Z27" i="4"/>
  <c r="AA27" i="4" s="1"/>
  <c r="X27" i="4"/>
  <c r="Y27" i="4" s="1"/>
  <c r="W27" i="4"/>
  <c r="AD26" i="4"/>
  <c r="AE26" i="4" s="1"/>
  <c r="AC26" i="4"/>
  <c r="AB26" i="4"/>
  <c r="Z26" i="4"/>
  <c r="X26" i="4"/>
  <c r="Y26" i="4" s="1"/>
  <c r="W26" i="4"/>
  <c r="AA26" i="4" s="1"/>
  <c r="AD25" i="4"/>
  <c r="AG25" i="4" s="1"/>
  <c r="AB25" i="4"/>
  <c r="AC25" i="4" s="1"/>
  <c r="Z25" i="4"/>
  <c r="AA25" i="4" s="1"/>
  <c r="X25" i="4"/>
  <c r="Y25" i="4" s="1"/>
  <c r="W25" i="4"/>
  <c r="AG24" i="4"/>
  <c r="AF24" i="4"/>
  <c r="AE24" i="4"/>
  <c r="AD24" i="4"/>
  <c r="AC24" i="4"/>
  <c r="AB24" i="4"/>
  <c r="Z24" i="4"/>
  <c r="AA24" i="4" s="1"/>
  <c r="X24" i="4"/>
  <c r="W24" i="4"/>
  <c r="Y24" i="4" s="1"/>
  <c r="AG23" i="4"/>
  <c r="AF23" i="4"/>
  <c r="AD23" i="4"/>
  <c r="AE23" i="4" s="1"/>
  <c r="AB23" i="4"/>
  <c r="AC23" i="4" s="1"/>
  <c r="Z23" i="4"/>
  <c r="AA23" i="4" s="1"/>
  <c r="X23" i="4"/>
  <c r="Y23" i="4" s="1"/>
  <c r="W23" i="4"/>
  <c r="AG22" i="4"/>
  <c r="AF22" i="4"/>
  <c r="AE22" i="4"/>
  <c r="AD22" i="4"/>
  <c r="AB22" i="4"/>
  <c r="AC22" i="4" s="1"/>
  <c r="Z22" i="4"/>
  <c r="X22" i="4"/>
  <c r="Y22" i="4" s="1"/>
  <c r="W22" i="4"/>
  <c r="AA22" i="4" s="1"/>
  <c r="AF21" i="4"/>
  <c r="AD21" i="4"/>
  <c r="AG21" i="4" s="1"/>
  <c r="AB21" i="4"/>
  <c r="AC21" i="4" s="1"/>
  <c r="Z21" i="4"/>
  <c r="AA21" i="4" s="1"/>
  <c r="X21" i="4"/>
  <c r="Y21" i="4" s="1"/>
  <c r="W21" i="4"/>
  <c r="AG20" i="4"/>
  <c r="AD20" i="4"/>
  <c r="AE20" i="4" s="1"/>
  <c r="AC20" i="4"/>
  <c r="AB20" i="4"/>
  <c r="Z20" i="4"/>
  <c r="AA20" i="4" s="1"/>
  <c r="Y20" i="4"/>
  <c r="X20" i="4"/>
  <c r="W20" i="4"/>
  <c r="AD19" i="4"/>
  <c r="AF19" i="4" s="1"/>
  <c r="AB19" i="4"/>
  <c r="AC19" i="4" s="1"/>
  <c r="Z19" i="4"/>
  <c r="AA19" i="4" s="1"/>
  <c r="X19" i="4"/>
  <c r="Y19" i="4" s="1"/>
  <c r="W19" i="4"/>
  <c r="AE18" i="4"/>
  <c r="AD18" i="4"/>
  <c r="AG18" i="4" s="1"/>
  <c r="AB18" i="4"/>
  <c r="AC18" i="4" s="1"/>
  <c r="AA18" i="4"/>
  <c r="Z18" i="4"/>
  <c r="Y18" i="4"/>
  <c r="X18" i="4"/>
  <c r="AE17" i="4"/>
  <c r="AD17" i="4"/>
  <c r="AG17" i="4" s="1"/>
  <c r="AB17" i="4"/>
  <c r="AC17" i="4" s="1"/>
  <c r="AA17" i="4"/>
  <c r="Z17" i="4"/>
  <c r="Y17" i="4"/>
  <c r="X17" i="4"/>
  <c r="AE16" i="4"/>
  <c r="AD16" i="4"/>
  <c r="AG16" i="4" s="1"/>
  <c r="AB16" i="4"/>
  <c r="AC16" i="4" s="1"/>
  <c r="AA16" i="4"/>
  <c r="Z16" i="4"/>
  <c r="Y16" i="4"/>
  <c r="X16" i="4"/>
  <c r="AE15" i="4"/>
  <c r="AD15" i="4"/>
  <c r="AG15" i="4" s="1"/>
  <c r="AB15" i="4"/>
  <c r="AC15" i="4" s="1"/>
  <c r="AA15" i="4"/>
  <c r="Z15" i="4"/>
  <c r="Y15" i="4"/>
  <c r="X15" i="4"/>
  <c r="C39" i="4" l="1"/>
  <c r="C38" i="4"/>
  <c r="C40" i="4" s="1"/>
  <c r="AF27" i="4"/>
  <c r="AF15" i="4"/>
  <c r="AF16" i="4"/>
  <c r="AF17" i="4"/>
  <c r="AF18" i="4"/>
  <c r="AE19" i="4"/>
  <c r="AG27" i="4"/>
  <c r="AF28" i="4"/>
  <c r="AE29" i="4"/>
  <c r="AG35" i="4"/>
  <c r="AE36" i="4"/>
  <c r="AG19" i="4"/>
  <c r="AF20" i="4"/>
  <c r="AE21" i="4"/>
  <c r="AG29" i="4"/>
  <c r="AF30" i="4"/>
  <c r="AE31" i="4"/>
  <c r="AG36" i="4"/>
  <c r="AE37" i="4"/>
  <c r="AG26" i="4"/>
  <c r="AE38" i="4"/>
  <c r="AE34" i="4"/>
  <c r="AE25" i="4"/>
  <c r="AF25" i="4"/>
  <c r="AF26" i="4"/>
  <c r="AE35" i="4"/>
  <c r="AE41" i="4"/>
  <c r="AF41" i="4"/>
  <c r="AE42" i="4"/>
  <c r="AF42" i="4"/>
</calcChain>
</file>

<file path=xl/sharedStrings.xml><?xml version="1.0" encoding="utf-8"?>
<sst xmlns="http://schemas.openxmlformats.org/spreadsheetml/2006/main" count="1169" uniqueCount="579">
  <si>
    <t>essere</t>
  </si>
  <si>
    <t>io</t>
  </si>
  <si>
    <t>sono</t>
  </si>
  <si>
    <t>umano</t>
  </si>
  <si>
    <t>felice</t>
  </si>
  <si>
    <t xml:space="preserve">io </t>
  </si>
  <si>
    <t>fame</t>
  </si>
  <si>
    <t>creatura</t>
  </si>
  <si>
    <t>vector</t>
  </si>
  <si>
    <t>records</t>
  </si>
  <si>
    <t>triste</t>
  </si>
  <si>
    <t>ho</t>
  </si>
  <si>
    <t>dot</t>
  </si>
  <si>
    <t>v1</t>
  </si>
  <si>
    <t>v2</t>
  </si>
  <si>
    <t>cos(angle)</t>
  </si>
  <si>
    <t>magnitude</t>
  </si>
  <si>
    <t>degrees</t>
  </si>
  <si>
    <t>similarity</t>
  </si>
  <si>
    <t>pi</t>
  </si>
  <si>
    <t>vA</t>
  </si>
  <si>
    <t>vB</t>
  </si>
  <si>
    <t>Vettori semantici: su vettore fisso o su vettore mobile?</t>
  </si>
  <si>
    <t>a</t>
  </si>
  <si>
    <t>b</t>
  </si>
  <si>
    <t>c</t>
  </si>
  <si>
    <t>max</t>
  </si>
  <si>
    <t>d</t>
  </si>
  <si>
    <t>%</t>
  </si>
  <si>
    <t>e</t>
  </si>
  <si>
    <t>f</t>
  </si>
  <si>
    <t>lemmi</t>
  </si>
  <si>
    <t>..</t>
  </si>
  <si>
    <t>DB</t>
  </si>
  <si>
    <t>token</t>
  </si>
  <si>
    <t>value</t>
  </si>
  <si>
    <t>min</t>
  </si>
  <si>
    <t>use</t>
  </si>
  <si>
    <t>pos</t>
  </si>
  <si>
    <t>DB1 bytes</t>
  </si>
  <si>
    <t>DB1 Gbytes</t>
  </si>
  <si>
    <t>DB1</t>
  </si>
  <si>
    <t>full</t>
  </si>
  <si>
    <t>…</t>
  </si>
  <si>
    <t>DB2</t>
  </si>
  <si>
    <t>DB2 bytes</t>
  </si>
  <si>
    <t>DB1 Mbytes</t>
  </si>
  <si>
    <t>DB1 Kbytes</t>
  </si>
  <si>
    <t>Risposte</t>
  </si>
  <si>
    <t>Parole da usare</t>
  </si>
  <si>
    <t>4096, come le dimensioni del vettore</t>
  </si>
  <si>
    <t>In memory or db?</t>
  </si>
  <si>
    <t>Sinonimi</t>
  </si>
  <si>
    <t>TBD</t>
  </si>
  <si>
    <t>TBD (memory or mongo)</t>
  </si>
  <si>
    <t>v3</t>
  </si>
  <si>
    <t>v4</t>
  </si>
  <si>
    <t>angle</t>
  </si>
  <si>
    <t>Dimensione fissa: 4096</t>
  </si>
  <si>
    <t>Append dopo le parole principali, duplica record di cui è sinonimo + phase (-1 to 1 che rappresenta la somiglianza massima (1) o la negazione massima (-1))</t>
  </si>
  <si>
    <t>word</t>
  </si>
  <si>
    <t>string</t>
  </si>
  <si>
    <t>semantic_vector</t>
  </si>
  <si>
    <t>vector[4096]</t>
  </si>
  <si>
    <t>phase</t>
  </si>
  <si>
    <t>float</t>
  </si>
  <si>
    <t>_id</t>
  </si>
  <si>
    <t>objectId</t>
  </si>
  <si>
    <t>MATRIX</t>
  </si>
  <si>
    <t>SIMILARITY</t>
  </si>
  <si>
    <t>ogni parola del vocabolario è definita come un vettore di valori, che rappresentano la somiglianza con un'altra parola del vocabolario</t>
  </si>
  <si>
    <t>memoria = tutti gli input ricevuti (interni ed esterni)</t>
  </si>
  <si>
    <t>attività permanente: pensiero (usa memoria)</t>
  </si>
  <si>
    <t>input: multiple sources (le cose o persone con cui interagisce, la sua memoria)</t>
  </si>
  <si>
    <t>pensiero + input: genera output nel tempo (tempo variabile è parte dell'output)</t>
  </si>
  <si>
    <t>db semantico: key words (4096 base + sinonimi e contrari)</t>
  </si>
  <si>
    <t>input verbale LLM -&gt; db semantico -&gt; processo -&gt; db new set -&gt; LLM -&gt; output verbale</t>
  </si>
  <si>
    <t>Note</t>
  </si>
  <si>
    <t>base</t>
  </si>
  <si>
    <t>type</t>
  </si>
  <si>
    <t>note</t>
  </si>
  <si>
    <t>field</t>
  </si>
  <si>
    <t>reference_id</t>
  </si>
  <si>
    <t>objectid</t>
  </si>
  <si>
    <t>reference_ids</t>
  </si>
  <si>
    <t>objectId[]</t>
  </si>
  <si>
    <t>rappresenta la tabella base, dove ci sonoiI valori semantici memorizzati originari</t>
  </si>
  <si>
    <t>bool</t>
  </si>
  <si>
    <t>non</t>
  </si>
  <si>
    <t>avg(a,b)</t>
  </si>
  <si>
    <t>itriste</t>
  </si>
  <si>
    <t>must be equal to</t>
  </si>
  <si>
    <t>advanced1</t>
  </si>
  <si>
    <t>base1</t>
  </si>
  <si>
    <t>base2</t>
  </si>
  <si>
    <t>base3</t>
  </si>
  <si>
    <t>compound1</t>
  </si>
  <si>
    <t>A</t>
  </si>
  <si>
    <t>B</t>
  </si>
  <si>
    <t>C</t>
  </si>
  <si>
    <t>D</t>
  </si>
  <si>
    <t>A,B</t>
  </si>
  <si>
    <t>E</t>
  </si>
  <si>
    <t>mogio</t>
  </si>
  <si>
    <t>avg(A.phase,B.phase)</t>
  </si>
  <si>
    <t>NOT b</t>
  </si>
  <si>
    <t>processed vector (phase + vector)</t>
  </si>
  <si>
    <t>Analisi: 1 vettore -&gt; molti vettori</t>
  </si>
  <si>
    <t>Sintesi: molti vettori -&gt; 1 vettore</t>
  </si>
  <si>
    <t>Frase</t>
  </si>
  <si>
    <t>-&gt;</t>
  </si>
  <si>
    <t>analisi</t>
  </si>
  <si>
    <t>&lt;-</t>
  </si>
  <si>
    <t>sintesi</t>
  </si>
  <si>
    <t>word[] -&gt; word</t>
  </si>
  <si>
    <t>Da un valore semantico a un array di parole</t>
  </si>
  <si>
    <t>word &lt;- word[]</t>
  </si>
  <si>
    <t>Scompone un valore semantico in un array di parole</t>
  </si>
  <si>
    <t>Processes</t>
  </si>
  <si>
    <t>oppure</t>
  </si>
  <si>
    <t>datetime</t>
  </si>
  <si>
    <t>timestamp</t>
  </si>
  <si>
    <t>base (db)</t>
  </si>
  <si>
    <t>-</t>
  </si>
  <si>
    <t>valore semantico</t>
  </si>
  <si>
    <t>quando</t>
  </si>
  <si>
    <t xml:space="preserve">rappresenta la tabella delle parole base + le estese (a coprire tutti I vocabolari, multilingua). </t>
  </si>
  <si>
    <t xml:space="preserve">tokenized word
</t>
  </si>
  <si>
    <t xml:space="preserve">relazione con il vettore delle parole base </t>
  </si>
  <si>
    <t>parte del vettore con cui tutto si relaziona</t>
  </si>
  <si>
    <t>gli id in ordine delle parole dal vocabulary referenziate</t>
  </si>
  <si>
    <t>mod_certainty</t>
  </si>
  <si>
    <t>mod_irony</t>
  </si>
  <si>
    <t>mod_volume</t>
  </si>
  <si>
    <t>significato</t>
  </si>
  <si>
    <t>op</t>
  </si>
  <si>
    <t>nome</t>
  </si>
  <si>
    <t>genera un pensiero (word &lt;- word[])</t>
  </si>
  <si>
    <t>io (db)</t>
  </si>
  <si>
    <t>rappresenta un input o un output verbale</t>
  </si>
  <si>
    <t>subject</t>
  </si>
  <si>
    <t>chi ha generato l'input (include self)</t>
  </si>
  <si>
    <t>io referenziato</t>
  </si>
  <si>
    <t>modificatore 2: da domanda/dubbio a certezza/affermazione</t>
  </si>
  <si>
    <t>modificatore 3: gain sulla magnitudine dei valori (-1 = -100%, 0 = nothing, 1 = +100%)</t>
  </si>
  <si>
    <t>modificatore 1: come negativo, ma agisce anche sul volume finale</t>
  </si>
  <si>
    <t>not</t>
  </si>
  <si>
    <t>prodotto scalare -1 (inverte la fase semantica di 180 gradi)</t>
  </si>
  <si>
    <t xml:space="preserve">analizza un input verbale (word[] -&gt; vector): </t>
  </si>
  <si>
    <t>operazione</t>
  </si>
  <si>
    <t>negazione</t>
  </si>
  <si>
    <t>prodotto scalare per ogni dimensione dei vettori coinvolti</t>
  </si>
  <si>
    <t>cerca insiemi di vettori la cui sintesi dia l'input (operazione inversa di sintesi)</t>
  </si>
  <si>
    <t>getVector</t>
  </si>
  <si>
    <t>prende il vettore e applica i modificatori: ritorna un vettore modificato</t>
  </si>
  <si>
    <t>working_memory (db)</t>
  </si>
  <si>
    <t>longterm_memory (db)</t>
  </si>
  <si>
    <t>log dei processi degli input</t>
  </si>
  <si>
    <t>Operazioni sui vectors</t>
  </si>
  <si>
    <t>due processi: semantico + astrazione logica</t>
  </si>
  <si>
    <t>DOING</t>
  </si>
  <si>
    <t>NLTK!!! Super libreria di linguaggio naturale</t>
  </si>
  <si>
    <t>Concetti chiave SSLM (Smart Semantic Language Model) : TokenKino</t>
  </si>
  <si>
    <t>dictionary (db)</t>
  </si>
  <si>
    <t>places (db)</t>
  </si>
  <si>
    <t>events (db)</t>
  </si>
  <si>
    <t>names (db)</t>
  </si>
  <si>
    <t>SL</t>
  </si>
  <si>
    <t>Definizione del linguaggio</t>
  </si>
  <si>
    <t>Linguaggio deve contenere entità fuzzy valutabili</t>
  </si>
  <si>
    <t>Esempi fuzzy</t>
  </si>
  <si>
    <t>action</t>
  </si>
  <si>
    <t>verb</t>
  </si>
  <si>
    <t>subject-object</t>
  </si>
  <si>
    <t>time</t>
  </si>
  <si>
    <t>location</t>
  </si>
  <si>
    <t>when?</t>
  </si>
  <si>
    <t>object?</t>
  </si>
  <si>
    <t>where?</t>
  </si>
  <si>
    <t>why?</t>
  </si>
  <si>
    <t>how?</t>
  </si>
  <si>
    <t>mode</t>
  </si>
  <si>
    <t>core-statement|adv</t>
  </si>
  <si>
    <t>statement entities</t>
  </si>
  <si>
    <t>pure entities</t>
  </si>
  <si>
    <t>place</t>
  </si>
  <si>
    <t>properties</t>
  </si>
  <si>
    <t>semantic vector</t>
  </si>
  <si>
    <t>absolute number</t>
  </si>
  <si>
    <t>entity in place</t>
  </si>
  <si>
    <t>cause</t>
  </si>
  <si>
    <t>statement</t>
  </si>
  <si>
    <t>facts</t>
  </si>
  <si>
    <t>collection</t>
  </si>
  <si>
    <t>opinions</t>
  </si>
  <si>
    <t>hardcoded</t>
  </si>
  <si>
    <t>experienced</t>
  </si>
  <si>
    <t>collections</t>
  </si>
  <si>
    <t>operations</t>
  </si>
  <si>
    <t>low level</t>
  </si>
  <si>
    <t>spaCy costruisce SL da NL</t>
  </si>
  <si>
    <t>base|place|core-statement</t>
  </si>
  <si>
    <t>base|core-statement|op + timestamp</t>
  </si>
  <si>
    <t>base (verb, adverb, adjective, noun, cong)</t>
  </si>
  <si>
    <t>conj</t>
  </si>
  <si>
    <t>vector|location</t>
  </si>
  <si>
    <t>scalar equation/inequation</t>
  </si>
  <si>
    <t>core-statement</t>
  </si>
  <si>
    <t>axioms</t>
  </si>
  <si>
    <t>collect common sense truths</t>
  </si>
  <si>
    <t>Deduzione</t>
  </si>
  <si>
    <t>statements</t>
  </si>
  <si>
    <t>input</t>
  </si>
  <si>
    <t>&amp;&amp;,||,!</t>
  </si>
  <si>
    <t>operator</t>
  </si>
  <si>
    <t>truth</t>
  </si>
  <si>
    <t>X</t>
  </si>
  <si>
    <t>XNOR</t>
  </si>
  <si>
    <t>IMPLY</t>
  </si>
  <si>
    <t>CONVERSE</t>
  </si>
  <si>
    <t>OP</t>
  </si>
  <si>
    <t>Y</t>
  </si>
  <si>
    <t>math op</t>
  </si>
  <si>
    <t>input NL (natural language)</t>
  </si>
  <si>
    <t>compiler to LL (logical language)</t>
  </si>
  <si>
    <t>compile</t>
  </si>
  <si>
    <t>evaluate</t>
  </si>
  <si>
    <t>A=antecedent (io suono) (IF A)</t>
  </si>
  <si>
    <t>A=antecedent (io sono vivo) (ONLY IF A)</t>
  </si>
  <si>
    <t>A=antecedent (io sono vivo)</t>
  </si>
  <si>
    <t>C=consequent (io sono contento) (THEN B)</t>
  </si>
  <si>
    <t>B=consequent (io sono contento)</t>
  </si>
  <si>
    <t>connection</t>
  </si>
  <si>
    <t>===</t>
  </si>
  <si>
    <t>NULL</t>
  </si>
  <si>
    <t>OP2</t>
  </si>
  <si>
    <t>OP1</t>
  </si>
  <si>
    <t>S=simple (io sono vivo)</t>
  </si>
  <si>
    <t>S=simple (io sono contento)</t>
  </si>
  <si>
    <t>OP1 x OP2 y …</t>
  </si>
  <si>
    <t>Steps:</t>
  </si>
  <si>
    <t>output</t>
  </si>
  <si>
    <t>LL statement</t>
  </si>
  <si>
    <t>fuzzy value</t>
  </si>
  <si>
    <t>LL statement[]</t>
  </si>
  <si>
    <t>split statements</t>
  </si>
  <si>
    <t>LL statements[]</t>
  </si>
  <si>
    <t>eval statements[]</t>
  </si>
  <si>
    <t>eval statement</t>
  </si>
  <si>
    <t>similarity to facts, axioms</t>
  </si>
  <si>
    <t>agree</t>
  </si>
  <si>
    <t>similarity to facts, axioms, opinions</t>
  </si>
  <si>
    <t>fuzzy value, list of assumptions (believes, opinions)</t>
  </si>
  <si>
    <t>steps</t>
  </si>
  <si>
    <t>experienced + hardcoded</t>
  </si>
  <si>
    <t>collect strong believes + deduce from axioms, facts and opinions</t>
  </si>
  <si>
    <t>deduce from axioms, facts</t>
  </si>
  <si>
    <t>solve equation for missing values (facts, axioms) having the value of the entire statement (present in facts, axioms)</t>
  </si>
  <si>
    <t>solve equation for missing values (facts, axioms, opinions) having the value of the entire statement (present in facts, axioms, opinion)</t>
  </si>
  <si>
    <t>demonstrate</t>
  </si>
  <si>
    <t>new fact</t>
  </si>
  <si>
    <t>new opinion</t>
  </si>
  <si>
    <t>formOpinion</t>
  </si>
  <si>
    <t>tagger</t>
  </si>
  <si>
    <t>name</t>
  </si>
  <si>
    <t>description</t>
  </si>
  <si>
    <t>LLC</t>
  </si>
  <si>
    <t>tokenKino components</t>
  </si>
  <si>
    <t>python lib, http api</t>
  </si>
  <si>
    <t>people (db)</t>
  </si>
  <si>
    <t>Modeling tokenKino knowledge base</t>
  </si>
  <si>
    <t>facts (db)</t>
  </si>
  <si>
    <t>theorems (db)</t>
  </si>
  <si>
    <t>definitions (db)</t>
  </si>
  <si>
    <t>Modeling tokenKino</t>
  </si>
  <si>
    <t>opinions (db)</t>
  </si>
  <si>
    <t>Fuzzy Operations</t>
  </si>
  <si>
    <t>If true = 1, false = -1, agnostic = 0</t>
  </si>
  <si>
    <t>&amp;&amp;</t>
  </si>
  <si>
    <t>boolean</t>
  </si>
  <si>
    <t>||</t>
  </si>
  <si>
    <t>Table truths</t>
  </si>
  <si>
    <t>NOT</t>
  </si>
  <si>
    <t>v1,v2</t>
  </si>
  <si>
    <t>v1 &amp;&amp; v2</t>
  </si>
  <si>
    <t>XOR</t>
  </si>
  <si>
    <t>BOOL</t>
  </si>
  <si>
    <t>FUZZY (0,1)</t>
  </si>
  <si>
    <t xml:space="preserve">fuzzy </t>
  </si>
  <si>
    <t>1-v1</t>
  </si>
  <si>
    <t>xor</t>
  </si>
  <si>
    <t>max(min(v1, 1-v2), min(1-v1,v2))</t>
  </si>
  <si>
    <t>xnor</t>
  </si>
  <si>
    <t>1-max(min(v1, 1-v2), min(1-v1,v2))</t>
  </si>
  <si>
    <t>imply</t>
  </si>
  <si>
    <t>converse</t>
  </si>
  <si>
    <t>v1&lt;=v2 ? 1 : v2</t>
  </si>
  <si>
    <t>EQUALITY</t>
  </si>
  <si>
    <t>FUZZY (-1,1)</t>
  </si>
  <si>
    <t>casi</t>
  </si>
  <si>
    <t>timeline</t>
  </si>
  <si>
    <t>ieri</t>
  </si>
  <si>
    <t>adesso</t>
  </si>
  <si>
    <t>entità</t>
  </si>
  <si>
    <t>bombe</t>
  </si>
  <si>
    <t>hezbollah</t>
  </si>
  <si>
    <t>subj</t>
  </si>
  <si>
    <t>lancia</t>
  </si>
  <si>
    <t>object</t>
  </si>
  <si>
    <t>where</t>
  </si>
  <si>
    <t>su israele</t>
  </si>
  <si>
    <t>causano</t>
  </si>
  <si>
    <t>morti</t>
  </si>
  <si>
    <t>israele sta bombardando il libano perchè le bombe che ieri hezbollah ha lanciato su israele hanno causato migliaia di morti in israele</t>
  </si>
  <si>
    <t>in israele</t>
  </si>
  <si>
    <t>israele</t>
  </si>
  <si>
    <t>bombarda</t>
  </si>
  <si>
    <t>libano</t>
  </si>
  <si>
    <t>implicazione</t>
  </si>
  <si>
    <t>if (a and b) then c</t>
  </si>
  <si>
    <t>per sapere se l'implicazione è formalmente vera, devo sapere se a e b sono vere</t>
  </si>
  <si>
    <t>per capire l'implicazione devo conoscere il legame tra le entità</t>
  </si>
  <si>
    <t xml:space="preserve">è </t>
  </si>
  <si>
    <t>in libano</t>
  </si>
  <si>
    <t>definizioni usate</t>
  </si>
  <si>
    <t>terroristi</t>
  </si>
  <si>
    <t>chi</t>
  </si>
  <si>
    <t>usa</t>
  </si>
  <si>
    <t>violenza</t>
  </si>
  <si>
    <t>riceve</t>
  </si>
  <si>
    <t xml:space="preserve">chi </t>
  </si>
  <si>
    <t>frequentemente</t>
  </si>
  <si>
    <t>Logical Language Compiler:  givent a text, returns a LL statement</t>
  </si>
  <si>
    <t>Esempi LLC</t>
  </si>
  <si>
    <t>Siccome il cane bianco e nero che sono andato a prendere ieri si è rivelato essere un cane molto simpatico e intelligente, e mia moglie mari lo ha adorato dal primo momento che lo ha visto, pensiamo che adottarlo sia la prossima mossa</t>
  </si>
  <si>
    <r>
      <t xml:space="preserve">Op </t>
    </r>
    <r>
      <rPr>
        <b/>
        <sz val="12"/>
        <color theme="1"/>
        <rFont val="Menlo Regular"/>
      </rPr>
      <t>&lt;-</t>
    </r>
  </si>
  <si>
    <r>
      <t xml:space="preserve">Op </t>
    </r>
    <r>
      <rPr>
        <b/>
        <sz val="12"/>
        <color theme="1"/>
        <rFont val="Menlo Regular"/>
      </rPr>
      <t>-&gt;</t>
    </r>
  </si>
  <si>
    <r>
      <rPr>
        <b/>
        <sz val="12"/>
        <color theme="1"/>
        <rFont val="Menlo Regular"/>
      </rPr>
      <t xml:space="preserve">Ingestion: </t>
    </r>
    <r>
      <rPr>
        <sz val="12"/>
        <color theme="1"/>
        <rFont val="Menlo Regular"/>
      </rPr>
      <t>per ogni parola LLM assegna un vettore relativo a tutte le altre parole base</t>
    </r>
  </si>
  <si>
    <r>
      <rPr>
        <b/>
        <sz val="12"/>
        <color theme="1"/>
        <rFont val="Menlo Regular"/>
      </rPr>
      <t>Ingestion advanced</t>
    </r>
    <r>
      <rPr>
        <sz val="12"/>
        <color theme="1"/>
        <rFont val="Menlo Regular"/>
      </rPr>
      <t>: per ogni parola LLM assegna la fase della parola base scelta come reference</t>
    </r>
  </si>
  <si>
    <r>
      <rPr>
        <b/>
        <sz val="12"/>
        <color theme="1"/>
        <rFont val="Menlo Regular"/>
      </rPr>
      <t>Ingestion advanced</t>
    </r>
    <r>
      <rPr>
        <sz val="12"/>
        <color theme="1"/>
        <rFont val="Menlo Regular"/>
      </rPr>
      <t>: per ogni parola non base LLM assegna vettore di somiglianza con tutte le altre parole base</t>
    </r>
  </si>
  <si>
    <r>
      <t xml:space="preserve">criterio di somiglianza: </t>
    </r>
    <r>
      <rPr>
        <sz val="12"/>
        <color theme="1"/>
        <rFont val="Menlo Regular"/>
      </rPr>
      <t>0 (ortogonale, neutro). 0-1 (somiglianza). -1-0 (discrepanza)</t>
    </r>
  </si>
  <si>
    <r>
      <t xml:space="preserve">Processo dell'input: </t>
    </r>
    <r>
      <rPr>
        <sz val="12"/>
        <color theme="1"/>
        <rFont val="Menlo Regular"/>
      </rPr>
      <t>TBD</t>
    </r>
  </si>
  <si>
    <r>
      <rPr>
        <b/>
        <i/>
        <sz val="12"/>
        <color theme="1"/>
        <rFont val="Menlo Regular"/>
      </rPr>
      <t>-&gt;</t>
    </r>
    <r>
      <rPr>
        <i/>
        <sz val="12"/>
        <color theme="1"/>
        <rFont val="Menlo Regular"/>
      </rPr>
      <t xml:space="preserve"> di tutti I vettori (massima sintesi)</t>
    </r>
  </si>
  <si>
    <r>
      <t xml:space="preserve">sufficient  (A=&gt;C): </t>
    </r>
    <r>
      <rPr>
        <sz val="12"/>
        <color theme="1"/>
        <rFont val="Menlo Regular"/>
      </rPr>
      <t>io sono contento se suono</t>
    </r>
  </si>
  <si>
    <r>
      <t xml:space="preserve">necessary  (A&lt;=C): </t>
    </r>
    <r>
      <rPr>
        <sz val="12"/>
        <color theme="1"/>
        <rFont val="Menlo Regular"/>
      </rPr>
      <t>io sono contento se e solo se sono vivo</t>
    </r>
  </si>
  <si>
    <r>
      <t xml:space="preserve">equivalence (A&lt;=&gt;C): </t>
    </r>
    <r>
      <rPr>
        <sz val="12"/>
        <color theme="1"/>
        <rFont val="Menlo Regular"/>
      </rPr>
      <t>io sono contento se e solo se sono vivo e sono vivo solo se e solo se sono contento</t>
    </r>
    <r>
      <rPr>
        <b/>
        <sz val="12"/>
        <color theme="1"/>
        <rFont val="Menlo Regular"/>
      </rPr>
      <t xml:space="preserve"> </t>
    </r>
    <r>
      <rPr>
        <sz val="12"/>
        <color theme="1"/>
        <rFont val="Menlo Regular"/>
      </rPr>
      <t>(A===C)</t>
    </r>
  </si>
  <si>
    <r>
      <t xml:space="preserve">logical: or, and, not (A op B): </t>
    </r>
    <r>
      <rPr>
        <sz val="12"/>
        <color theme="1"/>
        <rFont val="Menlo Regular"/>
      </rPr>
      <t>io sono contento oppure non sono contento, io non sono contento, io sono contento e sono vivo</t>
    </r>
  </si>
  <si>
    <r>
      <t xml:space="preserve">evaluate each part with logic rules, es: ((A1 &amp;&amp; A2 =&gt; C1) || (A3 === C2)) &amp;&amp; S1 = </t>
    </r>
    <r>
      <rPr>
        <b/>
        <sz val="12"/>
        <color theme="1"/>
        <rFont val="Menlo Regular"/>
      </rPr>
      <t>&lt;fuzzy value&gt;</t>
    </r>
  </si>
  <si>
    <r>
      <rPr>
        <b/>
        <sz val="12"/>
        <color theme="1"/>
        <rFont val="Menlo Regular"/>
      </rPr>
      <t>tagger</t>
    </r>
    <r>
      <rPr>
        <sz val="12"/>
        <color theme="1"/>
        <rFont val="Menlo Regular"/>
      </rPr>
      <t>: given a text, return tags from the sets: base words, names, geography, time, events, iptc categories</t>
    </r>
  </si>
  <si>
    <t>Israele bombarda il Libano, perchè Hezbollah ha bombardato Israele</t>
  </si>
  <si>
    <t>ADJ: adjective</t>
  </si>
  <si>
    <t>ADP: adposition</t>
  </si>
  <si>
    <t>ADV: adverb</t>
  </si>
  <si>
    <t>AUX: auxiliary</t>
  </si>
  <si>
    <t>CCONJ: coordinating conjunction</t>
  </si>
  <si>
    <t>DET: determiner</t>
  </si>
  <si>
    <t>INTJ: interjection</t>
  </si>
  <si>
    <t>NOUN: noun</t>
  </si>
  <si>
    <t>NUM: numeral</t>
  </si>
  <si>
    <t>PART: particle</t>
  </si>
  <si>
    <t>PRON: pronoun</t>
  </si>
  <si>
    <t>PROPN: proper noun</t>
  </si>
  <si>
    <t>PUNCT: punctuation</t>
  </si>
  <si>
    <t>SCONJ: subordinating conjunction</t>
  </si>
  <si>
    <t>SYM: symbol</t>
  </si>
  <si>
    <t>VERB: verb</t>
  </si>
  <si>
    <t>X: other</t>
  </si>
  <si>
    <t>pred</t>
  </si>
  <si>
    <t>obj</t>
  </si>
  <si>
    <t>how</t>
  </si>
  <si>
    <t>when</t>
  </si>
  <si>
    <t>entities</t>
  </si>
  <si>
    <t>e1: israele
e2: libano</t>
  </si>
  <si>
    <t>t1</t>
  </si>
  <si>
    <t>&lt;t1</t>
  </si>
  <si>
    <t>e3: hezbollah
e1: israele</t>
  </si>
  <si>
    <t>Compiler</t>
  </si>
  <si>
    <t>LL</t>
  </si>
  <si>
    <t>bombardare (v1)</t>
  </si>
  <si>
    <t>eval</t>
  </si>
  <si>
    <t>Inputs</t>
  </si>
  <si>
    <t>Definitions</t>
  </si>
  <si>
    <t>Theorems</t>
  </si>
  <si>
    <t>eval desc</t>
  </si>
  <si>
    <t>Facts</t>
  </si>
  <si>
    <t>check on db found (on facts)</t>
  </si>
  <si>
    <t>check on db, not found (neutral)</t>
  </si>
  <si>
    <t>asses variables</t>
  </si>
  <si>
    <t>A: found</t>
  </si>
  <si>
    <t>OP: not found</t>
  </si>
  <si>
    <t>B: found</t>
  </si>
  <si>
    <t>op not found</t>
  </si>
  <si>
    <t>-&gt; try to find the rule for the implication</t>
  </si>
  <si>
    <t>s1</t>
  </si>
  <si>
    <t>s2</t>
  </si>
  <si>
    <t>S2</t>
  </si>
  <si>
    <t>check on db not found (on facts)</t>
  </si>
  <si>
    <t>A: not found</t>
  </si>
  <si>
    <t>B: not found</t>
  </si>
  <si>
    <t>OP: found</t>
  </si>
  <si>
    <t>all found</t>
  </si>
  <si>
    <t>missing data, ask</t>
  </si>
  <si>
    <t>missing data, assume true</t>
  </si>
  <si>
    <t>disagree / agree</t>
  </si>
  <si>
    <t>S1</t>
  </si>
  <si>
    <t>cane</t>
  </si>
  <si>
    <t>e1: cane</t>
  </si>
  <si>
    <t>bianco and nero</t>
  </si>
  <si>
    <t>simpatico and intelligente</t>
  </si>
  <si>
    <t>moglie</t>
  </si>
  <si>
    <t>e2: moglie
e1: cane</t>
  </si>
  <si>
    <t>ant</t>
  </si>
  <si>
    <t>cons</t>
  </si>
  <si>
    <t>io and moglie</t>
  </si>
  <si>
    <t>adottare</t>
  </si>
  <si>
    <t>&gt; t1</t>
  </si>
  <si>
    <t>e3: io
e2: moglie
e1: cane</t>
  </si>
  <si>
    <t>A AND B AND C</t>
  </si>
  <si>
    <t>PROCESS S2</t>
  </si>
  <si>
    <t>PROCESS S1</t>
  </si>
  <si>
    <t>check on not db found (neutral)</t>
  </si>
  <si>
    <t>check on db not found (neutral)</t>
  </si>
  <si>
    <t>A,C not found</t>
  </si>
  <si>
    <t>-&gt; interlocutor thinks</t>
  </si>
  <si>
    <t>-&gt; form opinion</t>
  </si>
  <si>
    <t>-&gt; qualify interlocutor</t>
  </si>
  <si>
    <t>e3 v1 e1 - - &lt;t1</t>
  </si>
  <si>
    <t>e1 v1 e2 - - t1</t>
  </si>
  <si>
    <t>[e1,v1,e2,null,null,t1] &lt;- [e3,v1,e1,null,null,&lt;t1]</t>
  </si>
  <si>
    <t>A: e1 v0 - v1 and v2 - -
AND B: e1 v0 - v3 AND v4 - t1 AND c: e2 v4 e1 - - t1 + 0.1</t>
  </si>
  <si>
    <t>e3 and e2 v5 e1 - &gt; t1</t>
  </si>
  <si>
    <t>prendere</t>
  </si>
  <si>
    <t>adorare</t>
  </si>
  <si>
    <t>e3: io</t>
  </si>
  <si>
    <t>pensare</t>
  </si>
  <si>
    <t>F</t>
  </si>
  <si>
    <t>t1 + 0.2</t>
  </si>
  <si>
    <t>t1 + 0.1</t>
  </si>
  <si>
    <t>([e1,v_essere,null,(v_bianco &amp;&amp; v_nero),null,null] &amp;&amp; [e1, v_essere,null,v_simpatico &amp;&amp; v_intelligente,null,t1] &amp;&amp;  [e3, v_prendere,e1,null,null,t1]  &amp;&amp; [e2, v_amare, e1,null,null,t1+0.1]) -&gt; [e3 &amp;&amp; e2, v_pensare, [e3 &amp;&amp; e2, v_adottare, e1, null, null, &gt; t1 + 0.2], null, null, t1 + 0.2]</t>
  </si>
  <si>
    <t>tokenKino flat compiler</t>
  </si>
  <si>
    <t>examples</t>
  </si>
  <si>
    <t>I think you are not paying attention to what I have to say</t>
  </si>
  <si>
    <t>cat be feline mammal</t>
  </si>
  <si>
    <t>the cat is a feline mammal having thick soft fur and no ability to roar</t>
  </si>
  <si>
    <t>roar</t>
  </si>
  <si>
    <t>I have to say</t>
  </si>
  <si>
    <t>you not pay attention to 3</t>
  </si>
  <si>
    <t>I think 2</t>
  </si>
  <si>
    <t>step</t>
  </si>
  <si>
    <t>you or me can prepare the meal</t>
  </si>
  <si>
    <t>you can prepare the meal</t>
  </si>
  <si>
    <t>OR I can prepare the meal</t>
  </si>
  <si>
    <t>cat can have fur thick soft</t>
  </si>
  <si>
    <t>cat can have no ability to 4</t>
  </si>
  <si>
    <t xml:space="preserve">isolate all entities (across the nested structure) </t>
  </si>
  <si>
    <t>merge entities and rebuild statements with the correct reference</t>
  </si>
  <si>
    <t>isolate all the statements (across the nested structure) with duplication for conjuncts and subordinates, matching all entities</t>
  </si>
  <si>
    <t>sentence</t>
  </si>
  <si>
    <t>v2&lt;=v1 ? 1 : v1</t>
  </si>
  <si>
    <t>equality</t>
  </si>
  <si>
    <t>min(imply, converse)</t>
  </si>
  <si>
    <t>min(v1, v2)</t>
  </si>
  <si>
    <t>max(v1, v2)</t>
  </si>
  <si>
    <t>memory</t>
  </si>
  <si>
    <t>live</t>
  </si>
  <si>
    <t>find which release caused an issue</t>
  </si>
  <si>
    <t>the release A went fine</t>
  </si>
  <si>
    <t>the release B caused an issue</t>
  </si>
  <si>
    <t>find x</t>
  </si>
  <si>
    <t>x = release [which] caused a issue</t>
  </si>
  <si>
    <t>think</t>
  </si>
  <si>
    <t>copy</t>
  </si>
  <si>
    <t>a cat is cute to fulfill evolution and to make happy humans and other cats</t>
  </si>
  <si>
    <t>I'm happy</t>
  </si>
  <si>
    <t>problem</t>
  </si>
  <si>
    <t>I had a long session of thinking with myself and I reached many conclusions, that will help us defining the next step better.</t>
  </si>
  <si>
    <t>1. Now we have axioms and theorems in our memory (plus the memory, which is just the log of what are tokeniko's inputs and outputs): axioms set the common sense truths, without requiring any demonstration.</t>
  </si>
  <si>
    <t>2. I feel the need to introduce another collection / entity: definitions. In what definitions, axioms and theorems differs? The following points describe how</t>
  </si>
  <si>
    <t>3. Definitions should be strictly single sentence statements arbitrarily defining tokeniko's "rules and vocabulary": for example "truth is not falsehood" (defines one core concept of the logic) or "a thing is equal to itself" (defines basically what equal means) or "words carry meaning" (defines what semantic is). TKZipContent is perfect for it, because it's not about relating concepts through operator but it's about defining our playground (with purely semantic expressions).</t>
  </si>
  <si>
    <t>4. Axioms, instead, are representable by TKZip, because they define general truths in a broader way than the definitions: they establish relations between definitions (or between pure vocabulary semantic). Like "I think because I am". Or "A equal B and A equal C implies A equal C. Like definitions they don't need demonstration, but we trust them as true.</t>
  </si>
  <si>
    <t>5. Theorems are statements that provide a demonstration using the previous items (axioms and definitions) and math (how logical / fuzzy operators work, algebra, etc), hardwired in the code</t>
  </si>
  <si>
    <t xml:space="preserve">6. The current collection axioms is therefore wrong, but we will get to this point later, once we are done with the coding. </t>
  </si>
  <si>
    <t>Now, what the evaluator should do and why? Here's my bullet point list:</t>
  </si>
  <si>
    <t>Here's a bullet point list, to highlight the core of my first points.</t>
  </si>
  <si>
    <t>1. it should be able to compare the components of an input statement (so each and every TKZipContent) with the definitions, with an output fuzzy representing the "truth" of the part of the statement: from 0.0 (perfect opposite match with one item) to 1.0 (perfect match with one item) passing through every possible intermediate value (for the best match or opposite match).  When there is no match nor opposite match at all, the value is completely neutral 0.5</t>
  </si>
  <si>
    <t>2. it should be able to compare the relation between the matches of the input statements eventually found in axioms or theorems: the output can be a TRUTH value (he finds all the matches, with some degree of truth, both in the single statements and the relations). OR the output can be a neutral truth value (0.5) plus the aknowledgement the there is not enough knowledge and some "variable" is missing, keeping track of what is missing (if he misses some of the matches). OR (last case) a truth value (0) BUT plus the flag "logic inconsistency" (and where) because the statement violate a rule of the math / logic (the one hardwired, basically the math behind our fuzzy operators), like (A eq B) IMPLY (B noteq A) (or any misuse of the logic).</t>
  </si>
  <si>
    <t>1. build the data-modeling / BL / api for the definitions</t>
  </si>
  <si>
    <t>2. refactor the current logic to make some cleansing, like evaluator.py becomes a sub directory (as we did for compiler) with sub modules separated. The cuurrent operators.py should be there, as well</t>
  </si>
  <si>
    <t>3. check our current logic of the evaluator to fulfill the previous points I just set</t>
  </si>
  <si>
    <t>4. for all of this make a plan, no direct edits :)</t>
  </si>
  <si>
    <t>In order to accomplish this goal we should</t>
  </si>
  <si>
    <t>a eq b imply a noteq b</t>
  </si>
  <si>
    <t>1-compare</t>
  </si>
  <si>
    <t>a noteq b</t>
  </si>
  <si>
    <t xml:space="preserve">compare </t>
  </si>
  <si>
    <t>a eq b</t>
  </si>
  <si>
    <t>t2</t>
  </si>
  <si>
    <t>1 if t1 &lt;t2 else t2</t>
  </si>
  <si>
    <t>t-res</t>
  </si>
  <si>
    <t>fuzzy result</t>
  </si>
  <si>
    <t>case 1</t>
  </si>
  <si>
    <t>we know a and b</t>
  </si>
  <si>
    <t>case 1.a</t>
  </si>
  <si>
    <t>a) the statement is false, because it's logically inconsistent</t>
  </si>
  <si>
    <t>case 1.b</t>
  </si>
  <si>
    <t>we don't find a eq b imply a noteq b -&gt; we calculate</t>
  </si>
  <si>
    <t>we find a eq b imply a noteq b -&gt; we think it's true but we calculate to double check if we have an axiom or theorem logically inconsistent</t>
  </si>
  <si>
    <t>case 2</t>
  </si>
  <si>
    <t>we don't know a and b</t>
  </si>
  <si>
    <t>a) the statement is NOT 1, -&gt; because it's logically inconsistent and we remove our axiom / theorem</t>
  </si>
  <si>
    <t>2a and 2b, as before, we calculate</t>
  </si>
  <si>
    <t>A note: of course we shouldn't have a eq b imply a noteq b as axiom or theorem (because otherwise we did something logically wrong at the beginning or during the thinking process)</t>
  </si>
  <si>
    <t>So we can simplify: wheter we know or we don't know the values of the vector, we endup discovering that the expression violates logic (a eq b imply a noteq b) 
because we have HARDWIRED the logic operations (because we consider the logic tokeniko first truth)</t>
  </si>
  <si>
    <t>cat</t>
  </si>
  <si>
    <t>orange</t>
  </si>
  <si>
    <t>feline</t>
  </si>
  <si>
    <t>mammal</t>
  </si>
  <si>
    <t>cute</t>
  </si>
  <si>
    <t>*</t>
  </si>
  <si>
    <t>point of view</t>
  </si>
  <si>
    <t>original</t>
  </si>
  <si>
    <t>predicate</t>
  </si>
  <si>
    <t>my cat is cute</t>
  </si>
  <si>
    <t>felines are mammals</t>
  </si>
  <si>
    <t>all</t>
  </si>
  <si>
    <t>a wire is ligament made of metal</t>
  </si>
  <si>
    <t>wire</t>
  </si>
  <si>
    <t>ligament</t>
  </si>
  <si>
    <t>material</t>
  </si>
  <si>
    <t>direct</t>
  </si>
  <si>
    <t>indirects</t>
  </si>
  <si>
    <t>part</t>
  </si>
  <si>
    <t>destination</t>
  </si>
  <si>
    <t>I gave my sister a book</t>
  </si>
  <si>
    <t>me</t>
  </si>
  <si>
    <t>give</t>
  </si>
  <si>
    <t>t-1</t>
  </si>
  <si>
    <t>st</t>
  </si>
  <si>
    <t>I went from Rome to Genoa to see the ligurian sea</t>
  </si>
  <si>
    <t>theatre (stm)</t>
  </si>
  <si>
    <t>[t-1,t-1][*,*][*,*][*,*]</t>
  </si>
  <si>
    <t>go</t>
  </si>
  <si>
    <t>see</t>
  </si>
  <si>
    <t>sea</t>
  </si>
  <si>
    <t>t-2</t>
  </si>
  <si>
    <t>[t-2,t-1][r(x),g(x)][r(y),g(y)][r(z),g(z)]</t>
  </si>
  <si>
    <t>liguria</t>
  </si>
  <si>
    <t>advantage</t>
  </si>
  <si>
    <t>she works for her family</t>
  </si>
  <si>
    <t>she</t>
  </si>
  <si>
    <t>work</t>
  </si>
  <si>
    <t>(me)sister</t>
  </si>
  <si>
    <t>(she)faimily</t>
  </si>
  <si>
    <t>my cats are orange</t>
  </si>
  <si>
    <t>many</t>
  </si>
  <si>
    <t>rel</t>
  </si>
  <si>
    <t>with</t>
  </si>
  <si>
    <t>tool</t>
  </si>
  <si>
    <t>goal</t>
  </si>
  <si>
    <t>agent</t>
  </si>
  <si>
    <t>the hammer is made of titanium</t>
  </si>
  <si>
    <t>one</t>
  </si>
  <si>
    <t>book</t>
  </si>
  <si>
    <t>titanium</t>
  </si>
  <si>
    <t>AND</t>
  </si>
  <si>
    <t>the mail was written by John</t>
  </si>
  <si>
    <t>mail</t>
  </si>
  <si>
    <t>write</t>
  </si>
  <si>
    <t>John</t>
  </si>
  <si>
    <t>I study for the exam</t>
  </si>
  <si>
    <t>study</t>
  </si>
  <si>
    <t>exam</t>
  </si>
  <si>
    <t>my house was destroyed by the tornado</t>
  </si>
  <si>
    <t>house</t>
  </si>
  <si>
    <t>destroyed</t>
  </si>
  <si>
    <t>tornado</t>
  </si>
  <si>
    <t>build</t>
  </si>
  <si>
    <t>contraption</t>
  </si>
  <si>
    <t>I build my contraption with my hammer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</si>
</sst>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u/>
      <sz val="12"/>
      <color theme="10"/>
      <name val="Aptos Narrow"/>
      <family val="2"/>
      <scheme val="minor"/>
    </font>
    <font>
      <b/>
      <sz val="20"/>
      <color theme="1"/>
      <name val="Menlo Regular"/>
    </font>
    <font>
      <sz val="12"/>
      <color theme="1"/>
      <name val="Menlo Regular"/>
    </font>
    <font>
      <b/>
      <sz val="12"/>
      <color theme="1"/>
      <name val="Menlo Regular"/>
    </font>
    <font>
      <b/>
      <sz val="14"/>
      <color theme="1"/>
      <name val="Menlo Regular"/>
    </font>
    <font>
      <sz val="12"/>
      <color rgb="FF006100"/>
      <name val="Menlo Regular"/>
    </font>
    <font>
      <i/>
      <sz val="12"/>
      <color theme="1"/>
      <name val="Menlo Regular"/>
    </font>
    <font>
      <sz val="14"/>
      <color theme="1"/>
      <name val="Menlo Regular"/>
    </font>
    <font>
      <b/>
      <i/>
      <sz val="12"/>
      <color theme="1"/>
      <name val="Menlo Regular"/>
    </font>
    <font>
      <sz val="12"/>
      <color rgb="FF000000"/>
      <name val="Menlo Regular"/>
    </font>
    <font>
      <b/>
      <sz val="24"/>
      <color theme="1"/>
      <name val="Menlo Regular"/>
    </font>
    <font>
      <sz val="12"/>
      <color rgb="FF9C0006"/>
      <name val="Menlo Regular"/>
    </font>
    <font>
      <sz val="30"/>
      <color theme="1"/>
      <name val="Menlo Regular"/>
    </font>
    <font>
      <sz val="12"/>
      <color rgb="FF9C5700"/>
      <name val="Menlo Regular"/>
    </font>
    <font>
      <sz val="18"/>
      <color theme="1"/>
      <name val="Menlo Regular"/>
    </font>
    <font>
      <b/>
      <sz val="18"/>
      <color theme="1"/>
      <name val="Menlo Regular"/>
    </font>
    <font>
      <sz val="10"/>
      <color theme="1"/>
      <name val="Menlo Regular"/>
    </font>
    <font>
      <b/>
      <sz val="12"/>
      <color theme="1"/>
      <name val="Aptos Narrow"/>
      <scheme val="minor"/>
    </font>
    <font>
      <sz val="12"/>
      <color theme="0"/>
      <name val="Aptos Narrow"/>
      <family val="2"/>
      <scheme val="minor"/>
    </font>
    <font>
      <b/>
      <sz val="12"/>
      <color theme="0"/>
      <name val="Aptos Narrow"/>
      <scheme val="minor"/>
    </font>
  </fonts>
  <fills count="1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theme="3"/>
        <bgColor indexed="64"/>
      </patternFill>
    </fill>
    <fill>
      <patternFill patternType="solid">
        <fgColor theme="5"/>
        <bgColor indexed="64"/>
      </patternFill>
    </fill>
    <fill>
      <patternFill patternType="solid">
        <fgColor theme="3" tint="9.9978637043366805E-2"/>
        <bgColor indexed="64"/>
      </patternFill>
    </fill>
    <fill>
      <patternFill patternType="solid">
        <fgColor theme="4" tint="0.39997558519241921"/>
        <bgColor indexed="64"/>
      </patternFill>
    </fill>
    <fill>
      <patternFill patternType="solid">
        <fgColor rgb="FFC00000"/>
        <bgColor indexed="64"/>
      </patternFill>
    </fill>
    <fill>
      <patternFill patternType="solid">
        <fgColor rgb="FFFF0000"/>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2" tint="-0.749992370372631"/>
        <bgColor indexed="64"/>
      </patternFill>
    </fill>
    <fill>
      <patternFill patternType="solid">
        <fgColor theme="2" tint="-0.499984740745262"/>
        <bgColor indexed="64"/>
      </patternFill>
    </fill>
  </fills>
  <borders count="13">
    <border>
      <left/>
      <right/>
      <top/>
      <bottom/>
      <diagonal/>
    </border>
    <border>
      <left style="medium">
        <color theme="5" tint="-0.499984740745262"/>
      </left>
      <right/>
      <top style="medium">
        <color theme="5" tint="-0.499984740745262"/>
      </top>
      <bottom style="medium">
        <color theme="5" tint="-0.499984740745262"/>
      </bottom>
      <diagonal/>
    </border>
    <border>
      <left/>
      <right/>
      <top style="medium">
        <color theme="5" tint="-0.499984740745262"/>
      </top>
      <bottom style="medium">
        <color theme="5" tint="-0.499984740745262"/>
      </bottom>
      <diagonal/>
    </border>
    <border>
      <left style="medium">
        <color theme="6"/>
      </left>
      <right/>
      <top style="medium">
        <color theme="6"/>
      </top>
      <bottom style="medium">
        <color theme="6"/>
      </bottom>
      <diagonal/>
    </border>
    <border>
      <left/>
      <right/>
      <top style="medium">
        <color theme="6"/>
      </top>
      <bottom style="medium">
        <color theme="6"/>
      </bottom>
      <diagonal/>
    </border>
    <border>
      <left/>
      <right style="medium">
        <color theme="6"/>
      </right>
      <top style="medium">
        <color theme="6"/>
      </top>
      <bottom style="medium">
        <color theme="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0" applyNumberFormat="0" applyBorder="0" applyAlignment="0" applyProtection="0"/>
    <xf numFmtId="0" fontId="4" fillId="0" borderId="0" applyNumberFormat="0" applyFill="0" applyBorder="0" applyAlignment="0" applyProtection="0"/>
  </cellStyleXfs>
  <cellXfs count="112">
    <xf numFmtId="0" fontId="0" fillId="0" borderId="0" xfId="0"/>
    <xf numFmtId="0" fontId="5" fillId="0" borderId="0" xfId="0" applyFont="1" applyAlignment="1">
      <alignment vertical="top"/>
    </xf>
    <xf numFmtId="0" fontId="6" fillId="0" borderId="0" xfId="0" applyFont="1"/>
    <xf numFmtId="0" fontId="6" fillId="0" borderId="0" xfId="0" applyFont="1" applyAlignment="1">
      <alignment vertical="top"/>
    </xf>
    <xf numFmtId="0" fontId="7" fillId="0" borderId="0" xfId="0" applyFont="1" applyAlignment="1">
      <alignment vertical="top"/>
    </xf>
    <xf numFmtId="0" fontId="7" fillId="0" borderId="0" xfId="0" quotePrefix="1" applyFont="1" applyAlignment="1">
      <alignment vertical="top"/>
    </xf>
    <xf numFmtId="0" fontId="6" fillId="0" borderId="0" xfId="0" applyFont="1" applyAlignment="1">
      <alignment vertical="top" wrapText="1"/>
    </xf>
    <xf numFmtId="0" fontId="8" fillId="0" borderId="0" xfId="0" applyFont="1" applyAlignment="1">
      <alignment vertical="top"/>
    </xf>
    <xf numFmtId="0" fontId="9" fillId="2" borderId="0" xfId="1" applyFont="1" applyAlignment="1">
      <alignment vertical="top"/>
    </xf>
    <xf numFmtId="0" fontId="10" fillId="0" borderId="0" xfId="0" applyFont="1" applyAlignment="1">
      <alignment vertical="top"/>
    </xf>
    <xf numFmtId="0" fontId="11" fillId="0" borderId="0" xfId="0" applyFont="1" applyAlignment="1">
      <alignment vertical="top"/>
    </xf>
    <xf numFmtId="0" fontId="10" fillId="0" borderId="0" xfId="0" quotePrefix="1" applyFont="1" applyAlignment="1">
      <alignment vertical="top"/>
    </xf>
    <xf numFmtId="0" fontId="7" fillId="0" borderId="0" xfId="0" applyFont="1" applyAlignment="1">
      <alignment horizontal="left" vertical="top"/>
    </xf>
    <xf numFmtId="0" fontId="6"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center" vertical="top"/>
    </xf>
    <xf numFmtId="0" fontId="13" fillId="0" borderId="0" xfId="0" applyFont="1" applyAlignment="1">
      <alignment horizontal="center" vertical="top"/>
    </xf>
    <xf numFmtId="0" fontId="13" fillId="0" borderId="0" xfId="0" applyFont="1" applyAlignment="1">
      <alignment vertical="top"/>
    </xf>
    <xf numFmtId="0" fontId="14" fillId="0" borderId="0" xfId="0" applyFont="1"/>
    <xf numFmtId="0" fontId="6" fillId="0" borderId="0" xfId="0" applyFont="1" applyAlignment="1">
      <alignment horizontal="center"/>
    </xf>
    <xf numFmtId="0" fontId="5" fillId="0" borderId="0" xfId="0" applyFont="1"/>
    <xf numFmtId="0" fontId="5" fillId="0" borderId="0" xfId="0" applyFont="1" applyAlignment="1">
      <alignment horizontal="center"/>
    </xf>
    <xf numFmtId="0" fontId="7" fillId="0" borderId="0" xfId="0" applyFont="1" applyAlignment="1">
      <alignment horizontal="center"/>
    </xf>
    <xf numFmtId="0" fontId="7" fillId="6" borderId="6" xfId="0" applyFont="1" applyFill="1" applyBorder="1" applyAlignment="1">
      <alignment horizontal="left" vertical="top"/>
    </xf>
    <xf numFmtId="0" fontId="7" fillId="0" borderId="6" xfId="0" applyFont="1" applyBorder="1" applyAlignment="1">
      <alignment horizontal="center"/>
    </xf>
    <xf numFmtId="0" fontId="6" fillId="0" borderId="0" xfId="0" quotePrefix="1" applyFont="1" applyAlignment="1">
      <alignment horizontal="center"/>
    </xf>
    <xf numFmtId="0" fontId="15" fillId="3" borderId="6" xfId="2" applyFont="1" applyBorder="1" applyAlignment="1">
      <alignment horizontal="center"/>
    </xf>
    <xf numFmtId="0" fontId="7" fillId="0" borderId="11" xfId="0" applyFont="1" applyBorder="1" applyAlignment="1">
      <alignment horizontal="center"/>
    </xf>
    <xf numFmtId="0" fontId="15" fillId="3" borderId="10" xfId="2" applyFont="1" applyBorder="1" applyAlignment="1">
      <alignment horizont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applyFont="1"/>
    <xf numFmtId="0" fontId="6" fillId="0" borderId="0" xfId="0" quotePrefix="1" applyFont="1"/>
    <xf numFmtId="0" fontId="10" fillId="0" borderId="0" xfId="0" applyFont="1"/>
    <xf numFmtId="0" fontId="6" fillId="0" borderId="0" xfId="0" applyFont="1" applyAlignment="1">
      <alignment horizontal="right"/>
    </xf>
    <xf numFmtId="0" fontId="15" fillId="3" borderId="0" xfId="2" applyFont="1" applyAlignment="1">
      <alignment horizontal="center" vertical="center"/>
    </xf>
    <xf numFmtId="0" fontId="17" fillId="4" borderId="0" xfId="3" applyFont="1" applyAlignment="1">
      <alignment horizontal="center" vertical="center"/>
    </xf>
    <xf numFmtId="0" fontId="9" fillId="2" borderId="0" xfId="1" applyFont="1" applyAlignment="1">
      <alignment horizontal="center"/>
    </xf>
    <xf numFmtId="0" fontId="17" fillId="4" borderId="0" xfId="3" applyFont="1"/>
    <xf numFmtId="0" fontId="9" fillId="2" borderId="0" xfId="1" applyFont="1" applyAlignment="1">
      <alignment horizontal="center" vertical="center"/>
    </xf>
    <xf numFmtId="0" fontId="18" fillId="0" borderId="0" xfId="0" applyFont="1"/>
    <xf numFmtId="0" fontId="19" fillId="0" borderId="0" xfId="0" applyFont="1"/>
    <xf numFmtId="0" fontId="6" fillId="0" borderId="1" xfId="0" applyFont="1" applyBorder="1"/>
    <xf numFmtId="0" fontId="17" fillId="4" borderId="2" xfId="3" applyFont="1" applyBorder="1" applyAlignment="1">
      <alignment horizontal="center" vertical="center"/>
    </xf>
    <xf numFmtId="0" fontId="15" fillId="3" borderId="2" xfId="2" applyFont="1" applyBorder="1" applyAlignment="1">
      <alignment horizontal="center" vertical="center"/>
    </xf>
    <xf numFmtId="0" fontId="9" fillId="2" borderId="2" xfId="1" applyFont="1" applyBorder="1" applyAlignment="1">
      <alignment horizontal="center"/>
    </xf>
    <xf numFmtId="0" fontId="17" fillId="4" borderId="2" xfId="3" applyFont="1" applyBorder="1"/>
    <xf numFmtId="0" fontId="17" fillId="5" borderId="3" xfId="3" applyFont="1" applyFill="1" applyBorder="1"/>
    <xf numFmtId="0" fontId="17" fillId="5" borderId="4" xfId="3" applyFont="1" applyFill="1" applyBorder="1"/>
    <xf numFmtId="0" fontId="17" fillId="5" borderId="5" xfId="3" applyFont="1" applyFill="1" applyBorder="1"/>
    <xf numFmtId="0" fontId="6" fillId="0" borderId="0" xfId="0" applyFont="1" applyAlignment="1">
      <alignment horizontal="right" vertical="top"/>
    </xf>
    <xf numFmtId="0" fontId="12" fillId="0" borderId="0" xfId="0" applyFont="1" applyAlignment="1">
      <alignment vertical="top"/>
    </xf>
    <xf numFmtId="0" fontId="7" fillId="0" borderId="0" xfId="0" applyFont="1" applyAlignment="1">
      <alignment horizontal="left"/>
    </xf>
    <xf numFmtId="0" fontId="4" fillId="0" borderId="0" xfId="4"/>
    <xf numFmtId="0" fontId="6" fillId="0" borderId="0" xfId="0" quotePrefix="1" applyFont="1" applyAlignment="1">
      <alignment horizontal="center" vertical="top"/>
    </xf>
    <xf numFmtId="0" fontId="20" fillId="0" borderId="0" xfId="0" applyFont="1" applyAlignment="1">
      <alignment vertical="top" wrapText="1"/>
    </xf>
    <xf numFmtId="0" fontId="12" fillId="0" borderId="0" xfId="0" applyFont="1" applyAlignment="1">
      <alignment vertical="top" wrapText="1"/>
    </xf>
    <xf numFmtId="0" fontId="12" fillId="0" borderId="0" xfId="0" applyFont="1" applyAlignment="1">
      <alignment horizontal="right" vertical="top" wrapText="1"/>
    </xf>
    <xf numFmtId="0" fontId="7" fillId="0" borderId="0" xfId="0" applyFont="1" applyAlignment="1">
      <alignment vertical="top" wrapText="1"/>
    </xf>
    <xf numFmtId="0" fontId="6" fillId="0" borderId="0" xfId="0" applyFont="1" applyAlignment="1">
      <alignment horizontal="center" vertical="top" wrapText="1"/>
    </xf>
    <xf numFmtId="0" fontId="6" fillId="0" borderId="0" xfId="0" quotePrefix="1" applyFont="1" applyAlignment="1">
      <alignment horizontal="center" vertical="top" wrapText="1"/>
    </xf>
    <xf numFmtId="0" fontId="20" fillId="0" borderId="0" xfId="0" applyFont="1" applyAlignment="1">
      <alignment horizontal="center" vertical="top" wrapText="1"/>
    </xf>
    <xf numFmtId="0" fontId="20" fillId="0" borderId="0" xfId="0" quotePrefix="1" applyFont="1" applyAlignment="1">
      <alignment vertical="top" wrapText="1"/>
    </xf>
    <xf numFmtId="0" fontId="0" fillId="0" borderId="0" xfId="0" applyAlignment="1">
      <alignment horizontal="center" vertical="center"/>
    </xf>
    <xf numFmtId="0" fontId="21" fillId="0" borderId="0" xfId="0" applyFont="1" applyAlignment="1">
      <alignment horizontal="center" vertical="center"/>
    </xf>
    <xf numFmtId="0" fontId="5" fillId="0" borderId="0" xfId="0" applyFont="1" applyAlignment="1">
      <alignment horizontal="left" vertical="top"/>
    </xf>
    <xf numFmtId="0" fontId="21" fillId="0" borderId="0" xfId="0" applyFont="1" applyAlignment="1">
      <alignment horizontal="left" vertical="center"/>
    </xf>
    <xf numFmtId="0" fontId="0" fillId="0" borderId="0" xfId="0" applyAlignment="1">
      <alignment horizontal="center"/>
    </xf>
    <xf numFmtId="0" fontId="0" fillId="0" borderId="0" xfId="0" applyAlignment="1">
      <alignment horizontal="left"/>
    </xf>
    <xf numFmtId="0" fontId="21" fillId="0" borderId="0" xfId="0" applyFont="1"/>
    <xf numFmtId="0" fontId="0" fillId="0" borderId="0" xfId="0" applyAlignment="1">
      <alignment horizontal="left" vertical="top"/>
    </xf>
    <xf numFmtId="0" fontId="0" fillId="0" borderId="0" xfId="0" applyAlignment="1">
      <alignment horizontal="left" vertical="top" wrapText="1"/>
    </xf>
    <xf numFmtId="0" fontId="10" fillId="0" borderId="0" xfId="0" applyFont="1" applyAlignment="1">
      <alignment horizontal="left" vertical="top" wrapText="1"/>
    </xf>
    <xf numFmtId="0" fontId="7" fillId="6" borderId="0" xfId="0" applyFont="1" applyFill="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0" xfId="0" applyFont="1" applyAlignment="1">
      <alignment horizontal="center" vertical="center"/>
    </xf>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15" fillId="3" borderId="7" xfId="2" applyFont="1" applyBorder="1" applyAlignment="1">
      <alignment horizontal="center"/>
    </xf>
    <xf numFmtId="0" fontId="15" fillId="3" borderId="8" xfId="2" applyFont="1" applyBorder="1" applyAlignment="1">
      <alignment horizontal="center"/>
    </xf>
    <xf numFmtId="0" fontId="15" fillId="3" borderId="9" xfId="2" applyFont="1" applyBorder="1" applyAlignment="1">
      <alignment horizontal="center"/>
    </xf>
    <xf numFmtId="0" fontId="15" fillId="3" borderId="6" xfId="2" applyFont="1" applyBorder="1" applyAlignment="1">
      <alignment horizont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7" fillId="0" borderId="10" xfId="0" quotePrefix="1" applyFont="1" applyBorder="1" applyAlignment="1">
      <alignment horizontal="center" vertical="center"/>
    </xf>
    <xf numFmtId="0" fontId="16" fillId="0" borderId="0" xfId="0" applyFont="1" applyAlignment="1">
      <alignment horizontal="center" vertical="center"/>
    </xf>
    <xf numFmtId="0" fontId="10" fillId="0" borderId="0" xfId="0" applyFont="1" applyAlignment="1">
      <alignment horizontal="center"/>
    </xf>
    <xf numFmtId="0" fontId="6" fillId="0" borderId="0" xfId="0" applyFont="1" applyAlignment="1">
      <alignment vertical="center" wrapText="1"/>
    </xf>
    <xf numFmtId="0" fontId="7" fillId="0" borderId="0" xfId="0" applyFont="1" applyAlignment="1">
      <alignment horizontal="left" vertical="top"/>
    </xf>
    <xf numFmtId="0" fontId="22" fillId="8" borderId="0" xfId="0" applyFont="1" applyFill="1" applyAlignment="1">
      <alignment horizontal="center"/>
    </xf>
    <xf numFmtId="0" fontId="21" fillId="7" borderId="0" xfId="0" applyFont="1" applyFill="1" applyAlignment="1">
      <alignment horizontal="center"/>
    </xf>
    <xf numFmtId="0" fontId="21" fillId="5" borderId="0" xfId="0" applyFont="1" applyFill="1" applyAlignment="1">
      <alignment horizontal="center"/>
    </xf>
    <xf numFmtId="0" fontId="0" fillId="5" borderId="0" xfId="0" applyFill="1"/>
    <xf numFmtId="0" fontId="21" fillId="0" borderId="0" xfId="0" applyFont="1" applyAlignment="1">
      <alignment horizontal="center"/>
    </xf>
    <xf numFmtId="0" fontId="21" fillId="5" borderId="0" xfId="0" applyFont="1" applyFill="1" applyAlignment="1">
      <alignment horizont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22" fillId="9" borderId="0" xfId="0" applyFont="1" applyFill="1" applyAlignment="1">
      <alignment horizontal="center"/>
    </xf>
    <xf numFmtId="0" fontId="23" fillId="10" borderId="0" xfId="0" applyFont="1" applyFill="1" applyAlignment="1">
      <alignment horizontal="center"/>
    </xf>
    <xf numFmtId="0" fontId="23" fillId="11" borderId="0" xfId="0" applyFont="1" applyFill="1" applyAlignment="1">
      <alignment horizontal="center"/>
    </xf>
    <xf numFmtId="0" fontId="23" fillId="12" borderId="0" xfId="0" applyFont="1" applyFill="1" applyAlignment="1">
      <alignment horizontal="center"/>
    </xf>
    <xf numFmtId="0" fontId="23" fillId="13" borderId="0" xfId="0" applyFont="1" applyFill="1" applyAlignment="1">
      <alignment horizontal="center"/>
    </xf>
    <xf numFmtId="0" fontId="23" fillId="14" borderId="0" xfId="0" applyFont="1" applyFill="1" applyAlignment="1">
      <alignment horizontal="center"/>
    </xf>
    <xf numFmtId="0" fontId="23" fillId="15" borderId="0" xfId="0" applyFont="1" applyFill="1" applyAlignment="1">
      <alignment horizontal="center"/>
    </xf>
    <xf numFmtId="0" fontId="23" fillId="16" borderId="0" xfId="0" applyFont="1" applyFill="1" applyAlignment="1">
      <alignment horizontal="center"/>
    </xf>
    <xf numFmtId="0" fontId="23" fillId="17" borderId="0" xfId="0" applyFont="1" applyFill="1" applyAlignment="1">
      <alignment horizontal="center"/>
    </xf>
  </cellXfs>
  <cellStyles count="5">
    <cellStyle name="Bad" xfId="2" builtinId="27"/>
    <cellStyle name="Good" xfId="1" builtinId="26"/>
    <cellStyle name="Hyperlink" xfId="4" builtinId="8"/>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universaldependencies.org/u/pos/NOUN.html" TargetMode="External"/><Relationship Id="rId13" Type="http://schemas.openxmlformats.org/officeDocument/2006/relationships/hyperlink" Target="https://universaldependencies.org/u/pos/PUNCT.html" TargetMode="External"/><Relationship Id="rId3" Type="http://schemas.openxmlformats.org/officeDocument/2006/relationships/hyperlink" Target="https://universaldependencies.org/u/pos/ADV.html" TargetMode="External"/><Relationship Id="rId7" Type="http://schemas.openxmlformats.org/officeDocument/2006/relationships/hyperlink" Target="https://universaldependencies.org/u/pos/INTJ.html" TargetMode="External"/><Relationship Id="rId12" Type="http://schemas.openxmlformats.org/officeDocument/2006/relationships/hyperlink" Target="https://universaldependencies.org/u/pos/PROPN.html" TargetMode="External"/><Relationship Id="rId17" Type="http://schemas.openxmlformats.org/officeDocument/2006/relationships/hyperlink" Target="https://universaldependencies.org/u/pos/X.html" TargetMode="External"/><Relationship Id="rId2" Type="http://schemas.openxmlformats.org/officeDocument/2006/relationships/hyperlink" Target="https://universaldependencies.org/u/pos/ADP.html" TargetMode="External"/><Relationship Id="rId16" Type="http://schemas.openxmlformats.org/officeDocument/2006/relationships/hyperlink" Target="https://universaldependencies.org/u/pos/VERB.html" TargetMode="External"/><Relationship Id="rId1" Type="http://schemas.openxmlformats.org/officeDocument/2006/relationships/hyperlink" Target="https://universaldependencies.org/u/pos/ADJ.html" TargetMode="External"/><Relationship Id="rId6" Type="http://schemas.openxmlformats.org/officeDocument/2006/relationships/hyperlink" Target="https://universaldependencies.org/u/pos/DET.html" TargetMode="External"/><Relationship Id="rId11" Type="http://schemas.openxmlformats.org/officeDocument/2006/relationships/hyperlink" Target="https://universaldependencies.org/u/pos/PRON.html" TargetMode="External"/><Relationship Id="rId5" Type="http://schemas.openxmlformats.org/officeDocument/2006/relationships/hyperlink" Target="https://universaldependencies.org/u/pos/CCONJ.html" TargetMode="External"/><Relationship Id="rId15" Type="http://schemas.openxmlformats.org/officeDocument/2006/relationships/hyperlink" Target="https://universaldependencies.org/u/pos/SYM.html" TargetMode="External"/><Relationship Id="rId10" Type="http://schemas.openxmlformats.org/officeDocument/2006/relationships/hyperlink" Target="https://universaldependencies.org/u/pos/PART.html" TargetMode="External"/><Relationship Id="rId4" Type="http://schemas.openxmlformats.org/officeDocument/2006/relationships/hyperlink" Target="https://universaldependencies.org/u/pos/AUX_.html" TargetMode="External"/><Relationship Id="rId9" Type="http://schemas.openxmlformats.org/officeDocument/2006/relationships/hyperlink" Target="https://universaldependencies.org/u/pos/NUM.html" TargetMode="External"/><Relationship Id="rId14" Type="http://schemas.openxmlformats.org/officeDocument/2006/relationships/hyperlink" Target="https://universaldependencies.org/u/pos/SCONJ.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FE1F-0D37-9445-A6E8-05F7C4DAA139}">
  <sheetPr>
    <tabColor rgb="FF00B050"/>
  </sheetPr>
  <dimension ref="B2:N70"/>
  <sheetViews>
    <sheetView zoomScale="116" workbookViewId="0">
      <selection activeCell="D32" sqref="D32"/>
    </sheetView>
  </sheetViews>
  <sheetFormatPr baseColWidth="10" defaultRowHeight="16"/>
  <cols>
    <col min="1" max="1" width="3.6640625" style="3" customWidth="1"/>
    <col min="2" max="2" width="3.5" style="3" bestFit="1" customWidth="1"/>
    <col min="3" max="3" width="23.5" style="3" customWidth="1"/>
    <col min="4" max="4" width="12.5" style="3" customWidth="1"/>
    <col min="5" max="6" width="10.83203125" style="3"/>
    <col min="7" max="7" width="2.5" style="3" customWidth="1"/>
    <col min="8" max="8" width="62.6640625" style="3" customWidth="1"/>
    <col min="9" max="10" width="10.83203125" style="3"/>
    <col min="11" max="11" width="35.33203125" style="3" customWidth="1"/>
    <col min="12" max="16384" width="10.83203125" style="3"/>
  </cols>
  <sheetData>
    <row r="2" spans="2:12" ht="26">
      <c r="C2" s="1" t="s">
        <v>162</v>
      </c>
      <c r="I2" s="1" t="s">
        <v>158</v>
      </c>
    </row>
    <row r="3" spans="2:12">
      <c r="I3" s="4" t="s">
        <v>135</v>
      </c>
      <c r="J3" s="4" t="s">
        <v>136</v>
      </c>
      <c r="K3" s="4" t="s">
        <v>134</v>
      </c>
      <c r="L3" s="4" t="s">
        <v>149</v>
      </c>
    </row>
    <row r="4" spans="2:12">
      <c r="B4" s="4">
        <v>1</v>
      </c>
      <c r="C4" s="3" t="s">
        <v>70</v>
      </c>
      <c r="I4" s="5" t="s">
        <v>110</v>
      </c>
      <c r="J4" s="3" t="s">
        <v>113</v>
      </c>
      <c r="K4" s="3" t="s">
        <v>148</v>
      </c>
      <c r="L4" s="3" t="s">
        <v>151</v>
      </c>
    </row>
    <row r="5" spans="2:12">
      <c r="B5" s="4">
        <v>2</v>
      </c>
      <c r="C5" s="3" t="s">
        <v>73</v>
      </c>
      <c r="I5" s="4" t="s">
        <v>112</v>
      </c>
      <c r="J5" s="3" t="s">
        <v>111</v>
      </c>
      <c r="K5" s="3" t="s">
        <v>137</v>
      </c>
      <c r="L5" s="3" t="s">
        <v>152</v>
      </c>
    </row>
    <row r="6" spans="2:12">
      <c r="B6" s="4">
        <v>3</v>
      </c>
      <c r="C6" s="3" t="s">
        <v>72</v>
      </c>
      <c r="I6" s="3" t="s">
        <v>146</v>
      </c>
      <c r="J6" s="3" t="s">
        <v>146</v>
      </c>
      <c r="K6" s="3" t="s">
        <v>150</v>
      </c>
      <c r="L6" s="3" t="s">
        <v>147</v>
      </c>
    </row>
    <row r="7" spans="2:12">
      <c r="B7" s="4">
        <v>4</v>
      </c>
      <c r="C7" s="3" t="s">
        <v>74</v>
      </c>
    </row>
    <row r="8" spans="2:12">
      <c r="B8" s="4">
        <v>5</v>
      </c>
      <c r="C8" s="3" t="s">
        <v>75</v>
      </c>
    </row>
    <row r="9" spans="2:12">
      <c r="B9" s="4">
        <v>6</v>
      </c>
      <c r="C9" s="3" t="s">
        <v>76</v>
      </c>
    </row>
    <row r="10" spans="2:12">
      <c r="B10" s="4">
        <v>7</v>
      </c>
      <c r="C10" s="3" t="s">
        <v>71</v>
      </c>
    </row>
    <row r="11" spans="2:12">
      <c r="B11" s="4">
        <v>8</v>
      </c>
      <c r="C11" s="4" t="s">
        <v>159</v>
      </c>
    </row>
    <row r="12" spans="2:12">
      <c r="B12" s="4"/>
    </row>
    <row r="13" spans="2:12" ht="26">
      <c r="C13" s="1" t="s">
        <v>77</v>
      </c>
      <c r="H13" s="1" t="s">
        <v>48</v>
      </c>
    </row>
    <row r="14" spans="2:12">
      <c r="B14" s="4">
        <v>1</v>
      </c>
      <c r="C14" s="3" t="s">
        <v>22</v>
      </c>
      <c r="G14" s="3" t="s">
        <v>58</v>
      </c>
    </row>
    <row r="15" spans="2:12">
      <c r="B15" s="4">
        <v>2</v>
      </c>
      <c r="C15" s="3" t="s">
        <v>49</v>
      </c>
      <c r="G15" s="3" t="s">
        <v>50</v>
      </c>
    </row>
    <row r="16" spans="2:12">
      <c r="B16" s="4">
        <v>3</v>
      </c>
      <c r="C16" s="3" t="s">
        <v>52</v>
      </c>
      <c r="G16" s="3" t="s">
        <v>59</v>
      </c>
    </row>
    <row r="17" spans="2:14">
      <c r="B17" s="4">
        <v>4</v>
      </c>
      <c r="C17" s="3" t="s">
        <v>51</v>
      </c>
      <c r="G17" s="3" t="s">
        <v>54</v>
      </c>
    </row>
    <row r="18" spans="2:14">
      <c r="B18" s="4">
        <v>5</v>
      </c>
      <c r="C18" s="3" t="s">
        <v>109</v>
      </c>
      <c r="G18" s="3" t="s">
        <v>53</v>
      </c>
      <c r="H18" s="6"/>
    </row>
    <row r="19" spans="2:14">
      <c r="B19" s="4">
        <v>6</v>
      </c>
      <c r="C19" s="3" t="s">
        <v>107</v>
      </c>
      <c r="G19" s="3" t="s">
        <v>335</v>
      </c>
      <c r="H19" s="6"/>
    </row>
    <row r="20" spans="2:14">
      <c r="B20" s="4">
        <v>7</v>
      </c>
      <c r="C20" s="3" t="s">
        <v>108</v>
      </c>
      <c r="G20" s="3" t="s">
        <v>336</v>
      </c>
      <c r="H20" s="6"/>
    </row>
    <row r="21" spans="2:14">
      <c r="B21" s="4">
        <v>8</v>
      </c>
      <c r="C21" s="3" t="s">
        <v>114</v>
      </c>
      <c r="G21" s="3" t="s">
        <v>115</v>
      </c>
      <c r="H21" s="6"/>
    </row>
    <row r="22" spans="2:14">
      <c r="B22" s="4">
        <v>9</v>
      </c>
      <c r="C22" s="3" t="s">
        <v>116</v>
      </c>
      <c r="G22" s="3" t="s">
        <v>117</v>
      </c>
      <c r="H22" s="6"/>
    </row>
    <row r="23" spans="2:14">
      <c r="B23" s="3">
        <v>10</v>
      </c>
      <c r="C23" s="3" t="s">
        <v>161</v>
      </c>
    </row>
    <row r="25" spans="2:14" ht="26">
      <c r="C25" s="1" t="s">
        <v>270</v>
      </c>
      <c r="I25" s="1" t="s">
        <v>118</v>
      </c>
    </row>
    <row r="26" spans="2:14" ht="18">
      <c r="C26" s="7" t="s">
        <v>81</v>
      </c>
      <c r="D26" s="7" t="s">
        <v>79</v>
      </c>
      <c r="E26" s="7" t="s">
        <v>80</v>
      </c>
      <c r="I26" s="3" t="s">
        <v>337</v>
      </c>
      <c r="N26" s="8" t="s">
        <v>160</v>
      </c>
    </row>
    <row r="27" spans="2:14">
      <c r="I27" s="3" t="s">
        <v>338</v>
      </c>
    </row>
    <row r="28" spans="2:14" ht="18">
      <c r="C28" s="7" t="s">
        <v>122</v>
      </c>
      <c r="D28" s="9" t="s">
        <v>86</v>
      </c>
      <c r="I28" s="10" t="s">
        <v>119</v>
      </c>
    </row>
    <row r="29" spans="2:14">
      <c r="B29" s="4"/>
      <c r="C29" s="3" t="s">
        <v>66</v>
      </c>
      <c r="D29" s="3" t="s">
        <v>67</v>
      </c>
      <c r="E29" s="9" t="s">
        <v>123</v>
      </c>
      <c r="F29" s="9"/>
      <c r="G29" s="9"/>
      <c r="H29" s="9"/>
      <c r="I29" s="3" t="s">
        <v>339</v>
      </c>
    </row>
    <row r="30" spans="2:14" ht="16" customHeight="1">
      <c r="B30" s="4"/>
      <c r="C30" s="3" t="s">
        <v>60</v>
      </c>
      <c r="D30" s="3" t="s">
        <v>61</v>
      </c>
      <c r="E30" s="72" t="s">
        <v>127</v>
      </c>
      <c r="F30" s="72"/>
      <c r="G30" s="72"/>
      <c r="H30" s="72"/>
      <c r="I30" s="4" t="s">
        <v>340</v>
      </c>
    </row>
    <row r="31" spans="2:14">
      <c r="B31" s="4"/>
      <c r="C31" s="3" t="s">
        <v>62</v>
      </c>
      <c r="D31" s="3" t="s">
        <v>63</v>
      </c>
      <c r="E31" s="9" t="s">
        <v>124</v>
      </c>
      <c r="F31" s="9"/>
      <c r="G31" s="9"/>
      <c r="H31" s="9"/>
      <c r="I31" s="4" t="s">
        <v>341</v>
      </c>
    </row>
    <row r="33" spans="2:10" ht="18">
      <c r="C33" s="7" t="s">
        <v>163</v>
      </c>
      <c r="D33" s="9" t="s">
        <v>126</v>
      </c>
    </row>
    <row r="34" spans="2:10">
      <c r="B34" s="4"/>
      <c r="C34" s="3" t="s">
        <v>66</v>
      </c>
      <c r="D34" s="3" t="s">
        <v>67</v>
      </c>
      <c r="E34" s="9" t="s">
        <v>123</v>
      </c>
    </row>
    <row r="35" spans="2:10">
      <c r="B35" s="4"/>
      <c r="C35" s="3" t="s">
        <v>78</v>
      </c>
      <c r="D35" s="3" t="s">
        <v>87</v>
      </c>
      <c r="E35" s="9" t="s">
        <v>129</v>
      </c>
    </row>
    <row r="36" spans="2:10">
      <c r="B36" s="4"/>
      <c r="C36" s="3" t="s">
        <v>60</v>
      </c>
      <c r="D36" s="3" t="s">
        <v>61</v>
      </c>
      <c r="E36" s="72" t="s">
        <v>127</v>
      </c>
      <c r="F36" s="72"/>
      <c r="G36" s="72"/>
      <c r="H36" s="72"/>
    </row>
    <row r="37" spans="2:10">
      <c r="B37" s="4"/>
      <c r="C37" s="3" t="s">
        <v>62</v>
      </c>
      <c r="D37" s="3" t="s">
        <v>63</v>
      </c>
      <c r="E37" s="9" t="s">
        <v>128</v>
      </c>
    </row>
    <row r="39" spans="2:10">
      <c r="C39" s="4" t="s">
        <v>164</v>
      </c>
      <c r="I39" s="3" t="s">
        <v>153</v>
      </c>
      <c r="J39" s="3" t="s">
        <v>154</v>
      </c>
    </row>
    <row r="40" spans="2:10">
      <c r="B40" s="4"/>
    </row>
    <row r="41" spans="2:10">
      <c r="B41" s="4"/>
      <c r="C41" s="4" t="s">
        <v>165</v>
      </c>
    </row>
    <row r="42" spans="2:10">
      <c r="B42" s="4"/>
    </row>
    <row r="43" spans="2:10">
      <c r="B43" s="4"/>
      <c r="C43" s="4" t="s">
        <v>166</v>
      </c>
    </row>
    <row r="44" spans="2:10">
      <c r="B44" s="4"/>
    </row>
    <row r="45" spans="2:10">
      <c r="B45" s="4"/>
      <c r="C45" s="4" t="s">
        <v>269</v>
      </c>
    </row>
    <row r="47" spans="2:10">
      <c r="C47" s="4" t="s">
        <v>273</v>
      </c>
    </row>
    <row r="48" spans="2:10">
      <c r="B48" s="4"/>
    </row>
    <row r="49" spans="2:5">
      <c r="B49" s="4"/>
      <c r="C49" s="4" t="s">
        <v>272</v>
      </c>
    </row>
    <row r="50" spans="2:5">
      <c r="B50" s="4"/>
    </row>
    <row r="51" spans="2:5">
      <c r="C51" s="4" t="s">
        <v>271</v>
      </c>
    </row>
    <row r="53" spans="2:5" ht="26">
      <c r="C53" s="1" t="s">
        <v>274</v>
      </c>
    </row>
    <row r="55" spans="2:5" ht="18">
      <c r="C55" s="7" t="s">
        <v>138</v>
      </c>
      <c r="D55" s="9" t="s">
        <v>139</v>
      </c>
    </row>
    <row r="56" spans="2:5">
      <c r="C56" s="3" t="s">
        <v>66</v>
      </c>
      <c r="D56" s="3" t="s">
        <v>67</v>
      </c>
      <c r="E56" s="9" t="s">
        <v>123</v>
      </c>
    </row>
    <row r="57" spans="2:5">
      <c r="C57" s="3" t="s">
        <v>84</v>
      </c>
      <c r="D57" s="3" t="s">
        <v>85</v>
      </c>
      <c r="E57" s="9" t="s">
        <v>130</v>
      </c>
    </row>
    <row r="58" spans="2:5">
      <c r="C58" s="3" t="s">
        <v>62</v>
      </c>
      <c r="D58" s="3" t="s">
        <v>63</v>
      </c>
      <c r="E58" s="11" t="s">
        <v>342</v>
      </c>
    </row>
    <row r="59" spans="2:5">
      <c r="C59" s="3" t="s">
        <v>132</v>
      </c>
      <c r="D59" s="3" t="s">
        <v>65</v>
      </c>
      <c r="E59" s="9" t="s">
        <v>145</v>
      </c>
    </row>
    <row r="60" spans="2:5">
      <c r="C60" s="3" t="s">
        <v>131</v>
      </c>
      <c r="D60" s="3" t="s">
        <v>65</v>
      </c>
      <c r="E60" s="9" t="s">
        <v>143</v>
      </c>
    </row>
    <row r="61" spans="2:5">
      <c r="C61" s="3" t="s">
        <v>133</v>
      </c>
      <c r="D61" s="3" t="s">
        <v>65</v>
      </c>
      <c r="E61" s="9" t="s">
        <v>144</v>
      </c>
    </row>
    <row r="63" spans="2:5">
      <c r="C63" s="4" t="s">
        <v>155</v>
      </c>
      <c r="D63" s="9" t="s">
        <v>157</v>
      </c>
    </row>
    <row r="64" spans="2:5">
      <c r="C64" s="3" t="s">
        <v>120</v>
      </c>
      <c r="D64" s="3" t="s">
        <v>121</v>
      </c>
      <c r="E64" s="9" t="s">
        <v>125</v>
      </c>
    </row>
    <row r="65" spans="3:5">
      <c r="C65" s="3" t="s">
        <v>140</v>
      </c>
      <c r="D65" s="3" t="s">
        <v>83</v>
      </c>
      <c r="E65" s="9" t="s">
        <v>141</v>
      </c>
    </row>
    <row r="66" spans="3:5">
      <c r="C66" s="3" t="s">
        <v>1</v>
      </c>
      <c r="D66" s="3" t="s">
        <v>83</v>
      </c>
      <c r="E66" s="3" t="s">
        <v>142</v>
      </c>
    </row>
    <row r="68" spans="3:5">
      <c r="C68" s="4" t="s">
        <v>156</v>
      </c>
    </row>
    <row r="70" spans="3:5">
      <c r="C70" s="4" t="s">
        <v>275</v>
      </c>
    </row>
  </sheetData>
  <mergeCells count="2">
    <mergeCell ref="E30:H30"/>
    <mergeCell ref="E36:H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CF69A-7541-8F49-8917-87CA28DC0269}">
  <dimension ref="B2:M42"/>
  <sheetViews>
    <sheetView workbookViewId="0">
      <selection activeCell="E13" sqref="E13"/>
    </sheetView>
  </sheetViews>
  <sheetFormatPr baseColWidth="10" defaultRowHeight="16"/>
  <cols>
    <col min="1" max="2" width="3.83203125" style="3" customWidth="1"/>
    <col min="3" max="3" width="21.83203125" style="3" bestFit="1" customWidth="1"/>
    <col min="4" max="4" width="18.33203125" style="3" customWidth="1"/>
    <col min="5" max="5" width="25.6640625" style="3" bestFit="1" customWidth="1"/>
    <col min="6" max="6" width="15.83203125" style="3" bestFit="1" customWidth="1"/>
    <col min="7" max="7" width="23.5" style="3" customWidth="1"/>
    <col min="8" max="14" width="19" style="3" customWidth="1"/>
    <col min="15" max="16384" width="10.83203125" style="3"/>
  </cols>
  <sheetData>
    <row r="2" spans="2:13" ht="26">
      <c r="C2" s="1" t="s">
        <v>167</v>
      </c>
      <c r="E2" s="1" t="s">
        <v>170</v>
      </c>
    </row>
    <row r="3" spans="2:13">
      <c r="B3" s="4"/>
    </row>
    <row r="4" spans="2:13">
      <c r="C4" s="3" t="s">
        <v>168</v>
      </c>
      <c r="F4" s="4" t="s">
        <v>204</v>
      </c>
      <c r="G4" s="12" t="s">
        <v>140</v>
      </c>
      <c r="H4" s="12" t="s">
        <v>171</v>
      </c>
      <c r="I4" s="12" t="s">
        <v>177</v>
      </c>
      <c r="J4" s="12" t="s">
        <v>176</v>
      </c>
      <c r="K4" s="12" t="s">
        <v>178</v>
      </c>
      <c r="L4" s="12" t="s">
        <v>179</v>
      </c>
      <c r="M4" s="12" t="s">
        <v>180</v>
      </c>
    </row>
    <row r="5" spans="2:13" ht="17">
      <c r="C5" s="3" t="s">
        <v>200</v>
      </c>
      <c r="E5" s="4" t="s">
        <v>191</v>
      </c>
      <c r="F5" s="3" t="s">
        <v>214</v>
      </c>
      <c r="G5" s="13" t="s">
        <v>173</v>
      </c>
      <c r="H5" s="13" t="s">
        <v>172</v>
      </c>
      <c r="I5" s="13" t="s">
        <v>173</v>
      </c>
      <c r="J5" s="13" t="s">
        <v>174</v>
      </c>
      <c r="K5" s="13" t="s">
        <v>175</v>
      </c>
      <c r="L5" s="3" t="s">
        <v>190</v>
      </c>
      <c r="M5" s="3" t="s">
        <v>181</v>
      </c>
    </row>
    <row r="6" spans="2:13">
      <c r="C6" s="3" t="s">
        <v>169</v>
      </c>
      <c r="E6" s="4"/>
      <c r="F6" s="13"/>
      <c r="G6" s="13"/>
      <c r="H6" s="13"/>
      <c r="I6" s="14"/>
      <c r="J6" s="14"/>
      <c r="K6" s="14"/>
      <c r="L6" s="14"/>
    </row>
    <row r="7" spans="2:13">
      <c r="E7" s="4" t="s">
        <v>183</v>
      </c>
      <c r="F7" s="12" t="s">
        <v>173</v>
      </c>
      <c r="G7" s="12" t="s">
        <v>172</v>
      </c>
      <c r="H7" s="12" t="s">
        <v>175</v>
      </c>
      <c r="I7" s="12" t="s">
        <v>174</v>
      </c>
      <c r="J7" s="12" t="s">
        <v>190</v>
      </c>
      <c r="K7" s="12" t="s">
        <v>181</v>
      </c>
      <c r="L7" s="12" t="s">
        <v>214</v>
      </c>
    </row>
    <row r="8" spans="2:13" ht="51">
      <c r="F8" s="13" t="s">
        <v>78</v>
      </c>
      <c r="G8" s="13" t="s">
        <v>78</v>
      </c>
      <c r="H8" s="13" t="s">
        <v>201</v>
      </c>
      <c r="I8" s="13" t="s">
        <v>202</v>
      </c>
      <c r="J8" s="13" t="s">
        <v>207</v>
      </c>
      <c r="K8" s="13" t="s">
        <v>182</v>
      </c>
      <c r="L8" s="13" t="s">
        <v>214</v>
      </c>
    </row>
    <row r="9" spans="2:13" ht="51">
      <c r="E9" s="4" t="s">
        <v>199</v>
      </c>
      <c r="F9" s="13" t="s">
        <v>8</v>
      </c>
      <c r="G9" s="13" t="s">
        <v>8</v>
      </c>
      <c r="H9" s="13" t="s">
        <v>205</v>
      </c>
      <c r="I9" s="13" t="s">
        <v>206</v>
      </c>
      <c r="J9" s="13" t="s">
        <v>8</v>
      </c>
      <c r="K9" s="13" t="s">
        <v>8</v>
      </c>
      <c r="L9" s="13" t="s">
        <v>213</v>
      </c>
    </row>
    <row r="10" spans="2:13">
      <c r="E10" s="4"/>
      <c r="F10" s="13"/>
      <c r="G10" s="13"/>
      <c r="H10" s="13"/>
      <c r="I10" s="13"/>
      <c r="J10" s="13"/>
      <c r="K10" s="13"/>
      <c r="L10" s="13"/>
    </row>
    <row r="11" spans="2:13">
      <c r="F11" s="13"/>
      <c r="G11" s="13"/>
      <c r="H11" s="13"/>
      <c r="I11" s="13"/>
      <c r="J11" s="13"/>
      <c r="K11" s="13"/>
      <c r="L11" s="13"/>
    </row>
    <row r="12" spans="2:13" ht="18">
      <c r="E12" s="7" t="s">
        <v>184</v>
      </c>
      <c r="F12" s="4" t="s">
        <v>186</v>
      </c>
      <c r="G12" s="4" t="s">
        <v>193</v>
      </c>
    </row>
    <row r="13" spans="2:13" ht="51">
      <c r="E13" s="6" t="s">
        <v>203</v>
      </c>
      <c r="F13" s="3" t="s">
        <v>187</v>
      </c>
      <c r="G13" s="3" t="s">
        <v>78</v>
      </c>
    </row>
    <row r="14" spans="2:13">
      <c r="E14" s="3" t="s">
        <v>121</v>
      </c>
      <c r="F14" s="3" t="s">
        <v>188</v>
      </c>
      <c r="G14" s="3" t="s">
        <v>121</v>
      </c>
    </row>
    <row r="15" spans="2:13">
      <c r="E15" s="3" t="s">
        <v>185</v>
      </c>
      <c r="F15" s="3" t="s">
        <v>189</v>
      </c>
      <c r="G15" s="3" t="s">
        <v>185</v>
      </c>
    </row>
    <row r="17" spans="3:10" ht="18">
      <c r="E17" s="7" t="s">
        <v>197</v>
      </c>
    </row>
    <row r="18" spans="3:10">
      <c r="E18" s="3" t="s">
        <v>208</v>
      </c>
      <c r="F18" s="3" t="s">
        <v>211</v>
      </c>
      <c r="G18" s="3" t="s">
        <v>195</v>
      </c>
      <c r="H18" s="3" t="s">
        <v>209</v>
      </c>
    </row>
    <row r="19" spans="3:10">
      <c r="E19" s="3" t="s">
        <v>192</v>
      </c>
      <c r="F19" s="3" t="s">
        <v>211</v>
      </c>
      <c r="G19" s="3" t="s">
        <v>196</v>
      </c>
      <c r="H19" s="3" t="s">
        <v>256</v>
      </c>
    </row>
    <row r="20" spans="3:10">
      <c r="E20" s="3" t="s">
        <v>194</v>
      </c>
      <c r="F20" s="3" t="s">
        <v>211</v>
      </c>
      <c r="G20" s="3" t="s">
        <v>254</v>
      </c>
      <c r="H20" s="3" t="s">
        <v>255</v>
      </c>
    </row>
    <row r="23" spans="3:10" ht="18">
      <c r="E23" s="7"/>
    </row>
    <row r="24" spans="3:10">
      <c r="F24" s="14"/>
      <c r="G24" s="15"/>
      <c r="H24" s="15"/>
      <c r="I24" s="15"/>
      <c r="J24" s="15"/>
    </row>
    <row r="25" spans="3:10">
      <c r="F25" s="16"/>
      <c r="G25" s="16"/>
      <c r="H25" s="17"/>
      <c r="I25" s="15"/>
      <c r="J25" s="15"/>
    </row>
    <row r="26" spans="3:10">
      <c r="C26" s="53" t="s">
        <v>350</v>
      </c>
      <c r="F26" s="15"/>
      <c r="G26" s="15"/>
    </row>
    <row r="27" spans="3:10">
      <c r="C27" s="53" t="s">
        <v>351</v>
      </c>
      <c r="G27" s="15"/>
      <c r="J27" s="15"/>
    </row>
    <row r="28" spans="3:10">
      <c r="C28" s="53" t="s">
        <v>352</v>
      </c>
    </row>
    <row r="29" spans="3:10">
      <c r="C29" s="53" t="s">
        <v>353</v>
      </c>
    </row>
    <row r="30" spans="3:10">
      <c r="C30" s="53" t="s">
        <v>354</v>
      </c>
    </row>
    <row r="31" spans="3:10">
      <c r="C31" s="53" t="s">
        <v>355</v>
      </c>
    </row>
    <row r="32" spans="3:10">
      <c r="C32" s="53" t="s">
        <v>356</v>
      </c>
    </row>
    <row r="33" spans="3:3">
      <c r="C33" s="53" t="s">
        <v>357</v>
      </c>
    </row>
    <row r="34" spans="3:3">
      <c r="C34" s="53" t="s">
        <v>358</v>
      </c>
    </row>
    <row r="35" spans="3:3">
      <c r="C35" s="53" t="s">
        <v>359</v>
      </c>
    </row>
    <row r="36" spans="3:3">
      <c r="C36" s="53" t="s">
        <v>360</v>
      </c>
    </row>
    <row r="37" spans="3:3">
      <c r="C37" s="53" t="s">
        <v>361</v>
      </c>
    </row>
    <row r="38" spans="3:3">
      <c r="C38" s="53" t="s">
        <v>362</v>
      </c>
    </row>
    <row r="39" spans="3:3">
      <c r="C39" s="53" t="s">
        <v>363</v>
      </c>
    </row>
    <row r="40" spans="3:3">
      <c r="C40" s="53" t="s">
        <v>364</v>
      </c>
    </row>
    <row r="41" spans="3:3">
      <c r="C41" s="53" t="s">
        <v>365</v>
      </c>
    </row>
    <row r="42" spans="3:3">
      <c r="C42" s="53" t="s">
        <v>366</v>
      </c>
    </row>
  </sheetData>
  <hyperlinks>
    <hyperlink ref="C26" r:id="rId1" tooltip="u-pos ADJ" display="https://universaldependencies.org/u/pos/ADJ.html" xr:uid="{93E529A1-6893-E948-A2EC-3C5FAD6CD962}"/>
    <hyperlink ref="C27" r:id="rId2" tooltip="u-pos ADP" display="https://universaldependencies.org/u/pos/ADP.html" xr:uid="{D0935779-9A2B-1A46-A425-BDEF8F3253C1}"/>
    <hyperlink ref="C28" r:id="rId3" tooltip="u-pos ADV" display="https://universaldependencies.org/u/pos/ADV.html" xr:uid="{C9EE035F-AAEA-B348-820F-D02E10853AFC}"/>
    <hyperlink ref="C29" r:id="rId4" tooltip="u-pos AUX" display="https://universaldependencies.org/u/pos/AUX_.html" xr:uid="{E76C03A2-39FE-C247-9B7C-333AA8942E54}"/>
    <hyperlink ref="C30" r:id="rId5" tooltip="u-pos CCONJ" display="https://universaldependencies.org/u/pos/CCONJ.html" xr:uid="{C9882ED7-B38A-3C40-94E0-82BF880069FC}"/>
    <hyperlink ref="C31" r:id="rId6" tooltip="u-pos DET" display="https://universaldependencies.org/u/pos/DET.html" xr:uid="{D04A9501-2FBE-9848-BDD7-F6A86ED0C03A}"/>
    <hyperlink ref="C32" r:id="rId7" tooltip="u-pos INTJ" display="https://universaldependencies.org/u/pos/INTJ.html" xr:uid="{4E2D7F7A-40CF-D845-943D-74FADA5BD6D8}"/>
    <hyperlink ref="C33" r:id="rId8" tooltip="u-pos NOUN" display="https://universaldependencies.org/u/pos/NOUN.html" xr:uid="{51C33EA9-B039-7C49-A0E1-D87C2B086169}"/>
    <hyperlink ref="C34" r:id="rId9" tooltip="u-pos NUM" display="https://universaldependencies.org/u/pos/NUM.html" xr:uid="{C95E1D1B-F4BF-8C47-A0B8-774EF89C352F}"/>
    <hyperlink ref="C35" r:id="rId10" tooltip="u-pos PART" display="https://universaldependencies.org/u/pos/PART.html" xr:uid="{6E1F64FA-AB6D-8943-8BDD-CA604B69848A}"/>
    <hyperlink ref="C36" r:id="rId11" tooltip="u-pos PRON" display="https://universaldependencies.org/u/pos/PRON.html" xr:uid="{1273C3BC-84D5-0A4D-807C-C30996AE5484}"/>
    <hyperlink ref="C37" r:id="rId12" tooltip="u-pos PROPN" display="https://universaldependencies.org/u/pos/PROPN.html" xr:uid="{1E91ABA6-C95E-1C4F-8E84-79E93EBDC3F6}"/>
    <hyperlink ref="C38" r:id="rId13" tooltip="u-pos PUNCT" display="https://universaldependencies.org/u/pos/PUNCT.html" xr:uid="{DA526B80-CFB0-2B48-B6FE-21DCE168F993}"/>
    <hyperlink ref="C39" r:id="rId14" tooltip="u-pos SCONJ" display="https://universaldependencies.org/u/pos/SCONJ.html" xr:uid="{D8901B54-BEAE-9B45-A11F-BD2A6399B174}"/>
    <hyperlink ref="C40" r:id="rId15" tooltip="u-pos SYM" display="https://universaldependencies.org/u/pos/SYM.html" xr:uid="{879EE908-1CAE-874E-B6CB-1C0F41B2088F}"/>
    <hyperlink ref="C41" r:id="rId16" tooltip="u-pos VERB" display="https://universaldependencies.org/u/pos/VERB.html" xr:uid="{1A2AAA4C-2E59-B640-A4B0-0DDA897FAA81}"/>
    <hyperlink ref="C42" r:id="rId17" tooltip="u-pos X" display="https://universaldependencies.org/u/pos/X.html" xr:uid="{DC5A0C06-6980-0E4F-9D64-6DF12C18581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9CCB1-49C5-2548-AD66-B49F18C82431}">
  <dimension ref="B2:U105"/>
  <sheetViews>
    <sheetView topLeftCell="A49" zoomScale="125" workbookViewId="0">
      <selection activeCell="E58" sqref="E58"/>
    </sheetView>
  </sheetViews>
  <sheetFormatPr baseColWidth="10" defaultRowHeight="16"/>
  <cols>
    <col min="1" max="2" width="10.83203125" style="2"/>
    <col min="3" max="3" width="14.5" style="2" customWidth="1"/>
    <col min="4" max="4" width="17.5" style="2" customWidth="1"/>
    <col min="5" max="17" width="13.83203125" style="2" customWidth="1"/>
    <col min="18" max="18" width="18" style="2" customWidth="1"/>
    <col min="19" max="19" width="12.83203125" style="2" customWidth="1"/>
    <col min="20" max="20" width="12.1640625" style="19" customWidth="1"/>
    <col min="21" max="21" width="16.83203125" style="19" customWidth="1"/>
    <col min="22" max="22" width="36.83203125" style="2" customWidth="1"/>
    <col min="23" max="16384" width="10.83203125" style="2"/>
  </cols>
  <sheetData>
    <row r="2" spans="3:21" ht="31">
      <c r="C2" s="18" t="s">
        <v>210</v>
      </c>
      <c r="D2" s="18"/>
    </row>
    <row r="4" spans="3:21" ht="26">
      <c r="C4" s="20" t="s">
        <v>211</v>
      </c>
      <c r="D4" s="20"/>
      <c r="E4" s="20"/>
      <c r="F4" s="20"/>
      <c r="G4" s="20"/>
      <c r="H4" s="20"/>
      <c r="I4" s="20"/>
      <c r="J4" s="20"/>
      <c r="K4" s="20"/>
      <c r="L4" s="20"/>
      <c r="M4" s="20"/>
      <c r="N4" s="20"/>
      <c r="O4" s="20"/>
      <c r="P4" s="20"/>
      <c r="Q4" s="21" t="s">
        <v>215</v>
      </c>
      <c r="R4" s="21" t="s">
        <v>222</v>
      </c>
    </row>
    <row r="5" spans="3:21">
      <c r="Q5" s="19"/>
      <c r="R5" s="19"/>
    </row>
    <row r="6" spans="3:21">
      <c r="C6" s="75" t="s">
        <v>343</v>
      </c>
      <c r="D6" s="76"/>
      <c r="E6" s="76"/>
      <c r="F6" s="76"/>
      <c r="G6" s="76"/>
      <c r="H6" s="76"/>
      <c r="I6" s="76"/>
      <c r="J6" s="76"/>
      <c r="K6" s="76"/>
      <c r="L6" s="76"/>
      <c r="M6" s="76"/>
      <c r="N6" s="76"/>
      <c r="O6" s="76"/>
      <c r="P6" s="77"/>
      <c r="Q6" s="22"/>
      <c r="R6" s="22" t="s">
        <v>218</v>
      </c>
      <c r="U6" s="2"/>
    </row>
    <row r="7" spans="3:21">
      <c r="C7" s="79" t="s">
        <v>227</v>
      </c>
      <c r="D7" s="80"/>
      <c r="E7" s="80"/>
      <c r="F7" s="80"/>
      <c r="G7" s="80"/>
      <c r="H7" s="80"/>
      <c r="I7" s="81"/>
      <c r="J7" s="79" t="s">
        <v>230</v>
      </c>
      <c r="K7" s="80"/>
      <c r="L7" s="80"/>
      <c r="M7" s="80"/>
      <c r="N7" s="80"/>
      <c r="O7" s="80"/>
      <c r="P7" s="81"/>
      <c r="Q7" s="19"/>
      <c r="R7" s="19"/>
      <c r="U7" s="2"/>
    </row>
    <row r="8" spans="3:21">
      <c r="C8" s="23" t="s">
        <v>232</v>
      </c>
      <c r="D8" s="23" t="s">
        <v>140</v>
      </c>
      <c r="E8" s="23" t="s">
        <v>171</v>
      </c>
      <c r="F8" s="23" t="s">
        <v>177</v>
      </c>
      <c r="G8" s="23" t="s">
        <v>176</v>
      </c>
      <c r="H8" s="23" t="s">
        <v>178</v>
      </c>
      <c r="I8" s="23" t="s">
        <v>180</v>
      </c>
      <c r="J8" s="23" t="s">
        <v>232</v>
      </c>
      <c r="K8" s="23" t="s">
        <v>140</v>
      </c>
      <c r="L8" s="23" t="s">
        <v>171</v>
      </c>
      <c r="M8" s="23" t="s">
        <v>177</v>
      </c>
      <c r="N8" s="23" t="s">
        <v>176</v>
      </c>
      <c r="O8" s="23" t="s">
        <v>178</v>
      </c>
      <c r="P8" s="23" t="s">
        <v>180</v>
      </c>
      <c r="Q8" s="19"/>
      <c r="R8" s="19"/>
      <c r="U8" s="2"/>
    </row>
    <row r="9" spans="3:21">
      <c r="C9" s="86" t="s">
        <v>234</v>
      </c>
      <c r="D9" s="75" t="b">
        <v>1</v>
      </c>
      <c r="E9" s="76"/>
      <c r="F9" s="76"/>
      <c r="G9" s="76"/>
      <c r="H9" s="76"/>
      <c r="I9" s="77"/>
      <c r="J9" s="86" t="s">
        <v>218</v>
      </c>
      <c r="K9" s="74" t="b">
        <v>1</v>
      </c>
      <c r="L9" s="74"/>
      <c r="M9" s="74"/>
      <c r="N9" s="74"/>
      <c r="O9" s="74"/>
      <c r="P9" s="74"/>
      <c r="Q9" s="24" t="b">
        <v>1</v>
      </c>
      <c r="R9" s="25"/>
      <c r="S9" s="2" t="b">
        <v>1</v>
      </c>
      <c r="T9" s="19" t="b">
        <v>1</v>
      </c>
      <c r="U9" s="2" t="b">
        <v>1</v>
      </c>
    </row>
    <row r="10" spans="3:21">
      <c r="C10" s="87"/>
      <c r="D10" s="82" t="b">
        <v>1</v>
      </c>
      <c r="E10" s="83"/>
      <c r="F10" s="83"/>
      <c r="G10" s="83"/>
      <c r="H10" s="83"/>
      <c r="I10" s="84"/>
      <c r="J10" s="87"/>
      <c r="K10" s="85" t="b">
        <v>0</v>
      </c>
      <c r="L10" s="85"/>
      <c r="M10" s="85"/>
      <c r="N10" s="85"/>
      <c r="O10" s="85"/>
      <c r="P10" s="85"/>
      <c r="Q10" s="26" t="b">
        <v>0</v>
      </c>
      <c r="R10" s="19"/>
      <c r="S10" s="2" t="b">
        <v>1</v>
      </c>
      <c r="T10" s="19" t="b">
        <v>0</v>
      </c>
      <c r="U10" s="2" t="b">
        <v>0</v>
      </c>
    </row>
    <row r="11" spans="3:21">
      <c r="C11" s="87"/>
      <c r="D11" s="75" t="b">
        <v>0</v>
      </c>
      <c r="E11" s="76"/>
      <c r="F11" s="76"/>
      <c r="G11" s="76"/>
      <c r="H11" s="76"/>
      <c r="I11" s="77"/>
      <c r="J11" s="87"/>
      <c r="K11" s="74" t="b">
        <v>1</v>
      </c>
      <c r="L11" s="74"/>
      <c r="M11" s="74"/>
      <c r="N11" s="74"/>
      <c r="O11" s="74"/>
      <c r="P11" s="74"/>
      <c r="Q11" s="24" t="b">
        <v>1</v>
      </c>
      <c r="R11" s="19"/>
      <c r="S11" s="2" t="b">
        <v>0</v>
      </c>
      <c r="T11" s="19" t="b">
        <v>1</v>
      </c>
      <c r="U11" s="2" t="b">
        <v>1</v>
      </c>
    </row>
    <row r="12" spans="3:21">
      <c r="C12" s="88"/>
      <c r="D12" s="75" t="b">
        <v>0</v>
      </c>
      <c r="E12" s="76"/>
      <c r="F12" s="76"/>
      <c r="G12" s="76"/>
      <c r="H12" s="76"/>
      <c r="I12" s="77"/>
      <c r="J12" s="88"/>
      <c r="K12" s="74" t="b">
        <v>0</v>
      </c>
      <c r="L12" s="74"/>
      <c r="M12" s="74"/>
      <c r="N12" s="74"/>
      <c r="O12" s="74"/>
      <c r="P12" s="74"/>
      <c r="Q12" s="24" t="b">
        <v>1</v>
      </c>
      <c r="R12" s="19"/>
      <c r="S12" s="2" t="b">
        <v>0</v>
      </c>
      <c r="T12" s="19" t="b">
        <v>0</v>
      </c>
      <c r="U12" s="2" t="b">
        <v>1</v>
      </c>
    </row>
    <row r="13" spans="3:21">
      <c r="Q13" s="19"/>
      <c r="R13" s="19"/>
      <c r="U13" s="2"/>
    </row>
    <row r="14" spans="3:21">
      <c r="C14" s="75" t="s">
        <v>344</v>
      </c>
      <c r="D14" s="76"/>
      <c r="E14" s="76"/>
      <c r="F14" s="76"/>
      <c r="G14" s="76"/>
      <c r="H14" s="76"/>
      <c r="I14" s="76"/>
      <c r="J14" s="76"/>
      <c r="K14" s="76"/>
      <c r="L14" s="76"/>
      <c r="M14" s="76"/>
      <c r="N14" s="76"/>
      <c r="O14" s="76"/>
      <c r="P14" s="77"/>
      <c r="Q14" s="19"/>
      <c r="R14" s="22" t="s">
        <v>219</v>
      </c>
      <c r="U14" s="2"/>
    </row>
    <row r="15" spans="3:21">
      <c r="C15" s="79" t="s">
        <v>228</v>
      </c>
      <c r="D15" s="80"/>
      <c r="E15" s="80"/>
      <c r="F15" s="80"/>
      <c r="G15" s="80"/>
      <c r="H15" s="80"/>
      <c r="I15" s="81"/>
      <c r="J15" s="79" t="s">
        <v>230</v>
      </c>
      <c r="K15" s="80"/>
      <c r="L15" s="80"/>
      <c r="M15" s="80"/>
      <c r="N15" s="80"/>
      <c r="O15" s="80"/>
      <c r="P15" s="81"/>
      <c r="Q15" s="19"/>
      <c r="R15" s="19"/>
      <c r="U15" s="2"/>
    </row>
    <row r="16" spans="3:21">
      <c r="C16" s="23" t="s">
        <v>232</v>
      </c>
      <c r="D16" s="23" t="s">
        <v>140</v>
      </c>
      <c r="E16" s="23" t="s">
        <v>171</v>
      </c>
      <c r="F16" s="23" t="s">
        <v>177</v>
      </c>
      <c r="G16" s="23" t="s">
        <v>176</v>
      </c>
      <c r="H16" s="23" t="s">
        <v>178</v>
      </c>
      <c r="I16" s="23" t="s">
        <v>180</v>
      </c>
      <c r="J16" s="23" t="s">
        <v>232</v>
      </c>
      <c r="K16" s="23" t="s">
        <v>140</v>
      </c>
      <c r="L16" s="23" t="s">
        <v>171</v>
      </c>
      <c r="M16" s="23" t="s">
        <v>177</v>
      </c>
      <c r="N16" s="23" t="s">
        <v>176</v>
      </c>
      <c r="O16" s="23" t="s">
        <v>178</v>
      </c>
      <c r="P16" s="23" t="s">
        <v>180</v>
      </c>
      <c r="Q16" s="19"/>
      <c r="R16" s="19"/>
      <c r="U16" s="2"/>
    </row>
    <row r="17" spans="3:21">
      <c r="C17" s="86" t="s">
        <v>234</v>
      </c>
      <c r="D17" s="75" t="b">
        <v>1</v>
      </c>
      <c r="E17" s="76"/>
      <c r="F17" s="76"/>
      <c r="G17" s="76"/>
      <c r="H17" s="76"/>
      <c r="I17" s="77"/>
      <c r="J17" s="86" t="s">
        <v>219</v>
      </c>
      <c r="K17" s="74" t="b">
        <v>1</v>
      </c>
      <c r="L17" s="74"/>
      <c r="M17" s="74"/>
      <c r="N17" s="74"/>
      <c r="O17" s="74"/>
      <c r="P17" s="74"/>
      <c r="Q17" s="24" t="b">
        <v>1</v>
      </c>
      <c r="R17" s="19"/>
      <c r="U17" s="2"/>
    </row>
    <row r="18" spans="3:21">
      <c r="C18" s="87"/>
      <c r="D18" s="75" t="b">
        <v>1</v>
      </c>
      <c r="E18" s="76"/>
      <c r="F18" s="76"/>
      <c r="G18" s="76"/>
      <c r="H18" s="76"/>
      <c r="I18" s="77"/>
      <c r="J18" s="87"/>
      <c r="K18" s="74" t="b">
        <v>0</v>
      </c>
      <c r="L18" s="74"/>
      <c r="M18" s="74"/>
      <c r="N18" s="74"/>
      <c r="O18" s="74"/>
      <c r="P18" s="74"/>
      <c r="Q18" s="24" t="b">
        <v>1</v>
      </c>
      <c r="R18" s="19"/>
      <c r="U18" s="2"/>
    </row>
    <row r="19" spans="3:21">
      <c r="C19" s="87"/>
      <c r="D19" s="82" t="b">
        <v>0</v>
      </c>
      <c r="E19" s="83"/>
      <c r="F19" s="83"/>
      <c r="G19" s="83"/>
      <c r="H19" s="83"/>
      <c r="I19" s="84"/>
      <c r="J19" s="87"/>
      <c r="K19" s="85" t="b">
        <v>1</v>
      </c>
      <c r="L19" s="85"/>
      <c r="M19" s="85"/>
      <c r="N19" s="85"/>
      <c r="O19" s="85"/>
      <c r="P19" s="85"/>
      <c r="Q19" s="26" t="b">
        <v>0</v>
      </c>
      <c r="R19" s="19"/>
      <c r="U19" s="2"/>
    </row>
    <row r="20" spans="3:21">
      <c r="C20" s="88"/>
      <c r="D20" s="75" t="b">
        <v>0</v>
      </c>
      <c r="E20" s="76"/>
      <c r="F20" s="76"/>
      <c r="G20" s="76"/>
      <c r="H20" s="76"/>
      <c r="I20" s="77"/>
      <c r="J20" s="88"/>
      <c r="K20" s="74" t="b">
        <v>0</v>
      </c>
      <c r="L20" s="74"/>
      <c r="M20" s="74"/>
      <c r="N20" s="74"/>
      <c r="O20" s="74"/>
      <c r="P20" s="74"/>
      <c r="Q20" s="27" t="b">
        <v>1</v>
      </c>
      <c r="R20" s="19"/>
    </row>
    <row r="21" spans="3:21">
      <c r="Q21" s="19"/>
      <c r="R21" s="19"/>
    </row>
    <row r="22" spans="3:21">
      <c r="C22" s="75" t="s">
        <v>345</v>
      </c>
      <c r="D22" s="76"/>
      <c r="E22" s="76"/>
      <c r="F22" s="76"/>
      <c r="G22" s="76"/>
      <c r="H22" s="76"/>
      <c r="I22" s="76"/>
      <c r="J22" s="76"/>
      <c r="K22" s="76"/>
      <c r="L22" s="76"/>
      <c r="M22" s="76"/>
      <c r="N22" s="76"/>
      <c r="O22" s="76"/>
      <c r="P22" s="77"/>
      <c r="Q22" s="19"/>
      <c r="R22" s="22" t="s">
        <v>217</v>
      </c>
    </row>
    <row r="23" spans="3:21">
      <c r="C23" s="79" t="s">
        <v>229</v>
      </c>
      <c r="D23" s="80"/>
      <c r="E23" s="80"/>
      <c r="F23" s="80"/>
      <c r="G23" s="80"/>
      <c r="H23" s="80"/>
      <c r="I23" s="81"/>
      <c r="J23" s="79" t="s">
        <v>231</v>
      </c>
      <c r="K23" s="80"/>
      <c r="L23" s="80"/>
      <c r="M23" s="80"/>
      <c r="N23" s="80"/>
      <c r="O23" s="80"/>
      <c r="P23" s="81"/>
      <c r="Q23" s="19"/>
      <c r="R23" s="19"/>
    </row>
    <row r="24" spans="3:21">
      <c r="C24" s="23" t="s">
        <v>232</v>
      </c>
      <c r="D24" s="23" t="s">
        <v>140</v>
      </c>
      <c r="E24" s="23" t="s">
        <v>171</v>
      </c>
      <c r="F24" s="23" t="s">
        <v>177</v>
      </c>
      <c r="G24" s="23" t="s">
        <v>176</v>
      </c>
      <c r="H24" s="23" t="s">
        <v>178</v>
      </c>
      <c r="I24" s="23" t="s">
        <v>180</v>
      </c>
      <c r="J24" s="23" t="s">
        <v>232</v>
      </c>
      <c r="K24" s="23" t="s">
        <v>140</v>
      </c>
      <c r="L24" s="23" t="s">
        <v>171</v>
      </c>
      <c r="M24" s="23" t="s">
        <v>177</v>
      </c>
      <c r="N24" s="23" t="s">
        <v>176</v>
      </c>
      <c r="O24" s="23" t="s">
        <v>178</v>
      </c>
      <c r="P24" s="23" t="s">
        <v>180</v>
      </c>
      <c r="Q24" s="19"/>
      <c r="R24" s="19"/>
    </row>
    <row r="25" spans="3:21">
      <c r="C25" s="86" t="s">
        <v>234</v>
      </c>
      <c r="D25" s="75" t="b">
        <v>1</v>
      </c>
      <c r="E25" s="76"/>
      <c r="F25" s="76"/>
      <c r="G25" s="76"/>
      <c r="H25" s="76"/>
      <c r="I25" s="77"/>
      <c r="J25" s="89" t="s">
        <v>233</v>
      </c>
      <c r="K25" s="74" t="b">
        <v>1</v>
      </c>
      <c r="L25" s="74"/>
      <c r="M25" s="74"/>
      <c r="N25" s="74"/>
      <c r="O25" s="74"/>
      <c r="P25" s="74"/>
      <c r="Q25" s="24" t="b">
        <v>1</v>
      </c>
      <c r="R25" s="19"/>
    </row>
    <row r="26" spans="3:21">
      <c r="C26" s="87"/>
      <c r="D26" s="82" t="b">
        <v>1</v>
      </c>
      <c r="E26" s="83"/>
      <c r="F26" s="83"/>
      <c r="G26" s="83"/>
      <c r="H26" s="83"/>
      <c r="I26" s="84"/>
      <c r="J26" s="87"/>
      <c r="K26" s="85" t="b">
        <v>0</v>
      </c>
      <c r="L26" s="85"/>
      <c r="M26" s="85"/>
      <c r="N26" s="85"/>
      <c r="O26" s="85"/>
      <c r="P26" s="85"/>
      <c r="Q26" s="26" t="b">
        <v>0</v>
      </c>
      <c r="R26" s="19"/>
    </row>
    <row r="27" spans="3:21">
      <c r="C27" s="87"/>
      <c r="D27" s="82" t="b">
        <v>0</v>
      </c>
      <c r="E27" s="83"/>
      <c r="F27" s="83"/>
      <c r="G27" s="83"/>
      <c r="H27" s="83"/>
      <c r="I27" s="84"/>
      <c r="J27" s="87"/>
      <c r="K27" s="85" t="b">
        <v>1</v>
      </c>
      <c r="L27" s="85"/>
      <c r="M27" s="85"/>
      <c r="N27" s="85"/>
      <c r="O27" s="85"/>
      <c r="P27" s="85"/>
      <c r="Q27" s="28" t="b">
        <v>0</v>
      </c>
      <c r="R27" s="19"/>
    </row>
    <row r="28" spans="3:21">
      <c r="C28" s="88"/>
      <c r="D28" s="75" t="b">
        <v>0</v>
      </c>
      <c r="E28" s="76"/>
      <c r="F28" s="76"/>
      <c r="G28" s="76"/>
      <c r="H28" s="76"/>
      <c r="I28" s="77"/>
      <c r="J28" s="88"/>
      <c r="K28" s="74" t="b">
        <v>0</v>
      </c>
      <c r="L28" s="74"/>
      <c r="M28" s="74"/>
      <c r="N28" s="74"/>
      <c r="O28" s="74"/>
      <c r="P28" s="74"/>
      <c r="Q28" s="27" t="b">
        <v>1</v>
      </c>
      <c r="R28" s="19"/>
    </row>
    <row r="29" spans="3:21">
      <c r="R29" s="19"/>
    </row>
    <row r="30" spans="3:21">
      <c r="C30" s="75" t="s">
        <v>346</v>
      </c>
      <c r="D30" s="76"/>
      <c r="E30" s="76"/>
      <c r="F30" s="76"/>
      <c r="G30" s="76"/>
      <c r="H30" s="76"/>
      <c r="I30" s="76"/>
      <c r="J30" s="76"/>
      <c r="K30" s="76"/>
      <c r="L30" s="76"/>
      <c r="M30" s="76"/>
      <c r="N30" s="76"/>
      <c r="O30" s="76"/>
      <c r="P30" s="77"/>
      <c r="Q30" s="19"/>
      <c r="R30" s="22" t="s">
        <v>220</v>
      </c>
    </row>
    <row r="31" spans="3:21">
      <c r="C31" s="79" t="s">
        <v>237</v>
      </c>
      <c r="D31" s="80"/>
      <c r="E31" s="80"/>
      <c r="F31" s="80"/>
      <c r="G31" s="80"/>
      <c r="H31" s="80"/>
      <c r="I31" s="81"/>
      <c r="J31" s="79" t="s">
        <v>238</v>
      </c>
      <c r="K31" s="80"/>
      <c r="L31" s="80"/>
      <c r="M31" s="80"/>
      <c r="N31" s="80"/>
      <c r="O31" s="80"/>
      <c r="P31" s="81"/>
      <c r="Q31" s="19"/>
      <c r="R31" s="19"/>
    </row>
    <row r="32" spans="3:21">
      <c r="C32" s="23" t="s">
        <v>232</v>
      </c>
      <c r="D32" s="23" t="s">
        <v>140</v>
      </c>
      <c r="E32" s="23" t="s">
        <v>171</v>
      </c>
      <c r="F32" s="23" t="s">
        <v>177</v>
      </c>
      <c r="G32" s="23" t="s">
        <v>176</v>
      </c>
      <c r="H32" s="23" t="s">
        <v>178</v>
      </c>
      <c r="I32" s="23" t="s">
        <v>180</v>
      </c>
      <c r="J32" s="23" t="s">
        <v>232</v>
      </c>
      <c r="K32" s="23" t="s">
        <v>140</v>
      </c>
      <c r="L32" s="23" t="s">
        <v>171</v>
      </c>
      <c r="M32" s="23" t="s">
        <v>177</v>
      </c>
      <c r="N32" s="23" t="s">
        <v>176</v>
      </c>
      <c r="O32" s="23" t="s">
        <v>178</v>
      </c>
      <c r="P32" s="23" t="s">
        <v>180</v>
      </c>
      <c r="Q32" s="19"/>
      <c r="R32" s="19"/>
    </row>
    <row r="33" spans="3:21">
      <c r="C33" s="24" t="s">
        <v>236</v>
      </c>
      <c r="D33" s="75" t="s">
        <v>216</v>
      </c>
      <c r="E33" s="76"/>
      <c r="F33" s="76"/>
      <c r="G33" s="76"/>
      <c r="H33" s="76"/>
      <c r="I33" s="77"/>
      <c r="J33" s="24" t="s">
        <v>235</v>
      </c>
      <c r="K33" s="74" t="s">
        <v>221</v>
      </c>
      <c r="L33" s="74"/>
      <c r="M33" s="74"/>
      <c r="N33" s="74"/>
      <c r="O33" s="74"/>
      <c r="P33" s="74"/>
      <c r="Q33" s="24" t="s">
        <v>239</v>
      </c>
    </row>
    <row r="35" spans="3:21" ht="26">
      <c r="C35" s="20" t="s">
        <v>240</v>
      </c>
      <c r="D35" s="20"/>
    </row>
    <row r="36" spans="3:21" ht="26">
      <c r="C36" s="20"/>
      <c r="D36" s="20"/>
      <c r="F36" s="78" t="s">
        <v>253</v>
      </c>
      <c r="G36" s="78"/>
      <c r="H36" s="78"/>
      <c r="I36" s="78"/>
      <c r="J36" s="78"/>
      <c r="K36" s="78"/>
      <c r="L36" s="78"/>
      <c r="M36" s="78"/>
      <c r="N36" s="78"/>
      <c r="O36" s="78"/>
      <c r="P36" s="78"/>
    </row>
    <row r="37" spans="3:21">
      <c r="C37" s="30" t="s">
        <v>198</v>
      </c>
      <c r="D37" s="31" t="s">
        <v>212</v>
      </c>
      <c r="F37" s="29">
        <v>1</v>
      </c>
      <c r="H37" s="29">
        <v>2</v>
      </c>
      <c r="K37" s="29">
        <v>3</v>
      </c>
      <c r="Q37" s="29" t="s">
        <v>241</v>
      </c>
    </row>
    <row r="39" spans="3:21">
      <c r="C39" s="2" t="s">
        <v>225</v>
      </c>
      <c r="D39" s="2" t="s">
        <v>223</v>
      </c>
      <c r="F39" s="2" t="s">
        <v>224</v>
      </c>
      <c r="Q39" s="2" t="s">
        <v>244</v>
      </c>
      <c r="T39" s="2"/>
    </row>
    <row r="40" spans="3:21">
      <c r="C40" s="2" t="s">
        <v>226</v>
      </c>
      <c r="D40" s="2" t="s">
        <v>246</v>
      </c>
      <c r="F40" s="2" t="s">
        <v>247</v>
      </c>
      <c r="H40" s="2" t="s">
        <v>245</v>
      </c>
      <c r="K40" s="2" t="s">
        <v>347</v>
      </c>
      <c r="Q40" s="2" t="s">
        <v>243</v>
      </c>
      <c r="T40" s="2"/>
      <c r="U40" s="2"/>
    </row>
    <row r="41" spans="3:21">
      <c r="C41" s="2" t="s">
        <v>226</v>
      </c>
      <c r="D41" s="2" t="s">
        <v>242</v>
      </c>
      <c r="F41" s="2" t="s">
        <v>248</v>
      </c>
      <c r="H41" s="2" t="s">
        <v>249</v>
      </c>
      <c r="Q41" s="2" t="s">
        <v>243</v>
      </c>
      <c r="T41" s="2"/>
      <c r="U41" s="2"/>
    </row>
    <row r="42" spans="3:21">
      <c r="C42" s="2" t="s">
        <v>250</v>
      </c>
      <c r="D42" s="2" t="s">
        <v>246</v>
      </c>
      <c r="F42" s="2" t="s">
        <v>247</v>
      </c>
      <c r="H42" s="2" t="s">
        <v>245</v>
      </c>
      <c r="K42" s="2" t="s">
        <v>347</v>
      </c>
      <c r="Q42" s="2" t="s">
        <v>243</v>
      </c>
    </row>
    <row r="43" spans="3:21">
      <c r="C43" s="2" t="s">
        <v>250</v>
      </c>
      <c r="D43" s="2" t="s">
        <v>242</v>
      </c>
      <c r="F43" s="2" t="s">
        <v>248</v>
      </c>
      <c r="H43" s="2" t="s">
        <v>251</v>
      </c>
      <c r="Q43" s="2" t="s">
        <v>252</v>
      </c>
    </row>
    <row r="44" spans="3:21">
      <c r="C44" s="31" t="s">
        <v>259</v>
      </c>
      <c r="D44" s="2" t="s">
        <v>246</v>
      </c>
      <c r="F44" s="2" t="s">
        <v>247</v>
      </c>
      <c r="H44" s="2" t="s">
        <v>257</v>
      </c>
      <c r="Q44" s="2" t="s">
        <v>260</v>
      </c>
    </row>
    <row r="45" spans="3:21">
      <c r="C45" s="31" t="s">
        <v>262</v>
      </c>
      <c r="D45" s="2" t="s">
        <v>246</v>
      </c>
      <c r="F45" s="2" t="s">
        <v>247</v>
      </c>
      <c r="H45" s="2" t="s">
        <v>258</v>
      </c>
      <c r="Q45" s="2" t="s">
        <v>261</v>
      </c>
    </row>
    <row r="46" spans="3:21">
      <c r="C46" s="31"/>
    </row>
    <row r="48" spans="3:21" ht="26">
      <c r="C48" s="20" t="s">
        <v>276</v>
      </c>
    </row>
    <row r="50" spans="2:12">
      <c r="C50" s="2" t="s">
        <v>277</v>
      </c>
    </row>
    <row r="52" spans="2:12">
      <c r="C52" s="31" t="s">
        <v>279</v>
      </c>
      <c r="E52" s="31" t="s">
        <v>288</v>
      </c>
    </row>
    <row r="53" spans="2:12">
      <c r="B53" s="2" t="s">
        <v>283</v>
      </c>
      <c r="C53" s="2" t="s">
        <v>284</v>
      </c>
      <c r="E53" s="2" t="s">
        <v>461</v>
      </c>
    </row>
    <row r="54" spans="2:12">
      <c r="B54" s="2" t="s">
        <v>283</v>
      </c>
      <c r="C54" s="2" t="s">
        <v>280</v>
      </c>
      <c r="E54" s="2" t="s">
        <v>462</v>
      </c>
    </row>
    <row r="55" spans="2:12">
      <c r="B55" s="2" t="s">
        <v>13</v>
      </c>
      <c r="C55" s="2" t="s">
        <v>146</v>
      </c>
      <c r="E55" s="32" t="s">
        <v>289</v>
      </c>
    </row>
    <row r="56" spans="2:12">
      <c r="B56" s="2" t="s">
        <v>283</v>
      </c>
      <c r="C56" s="2" t="s">
        <v>290</v>
      </c>
      <c r="E56" s="32" t="s">
        <v>291</v>
      </c>
    </row>
    <row r="57" spans="2:12">
      <c r="B57" s="2" t="s">
        <v>283</v>
      </c>
      <c r="C57" s="2" t="s">
        <v>292</v>
      </c>
      <c r="E57" s="32" t="s">
        <v>293</v>
      </c>
    </row>
    <row r="58" spans="2:12">
      <c r="B58" s="2" t="s">
        <v>283</v>
      </c>
      <c r="C58" s="2" t="s">
        <v>294</v>
      </c>
      <c r="E58" s="32" t="s">
        <v>296</v>
      </c>
    </row>
    <row r="59" spans="2:12">
      <c r="B59" s="2" t="s">
        <v>283</v>
      </c>
      <c r="C59" s="2" t="s">
        <v>295</v>
      </c>
      <c r="E59" s="2" t="s">
        <v>458</v>
      </c>
    </row>
    <row r="60" spans="2:12">
      <c r="B60" s="2" t="s">
        <v>283</v>
      </c>
      <c r="C60" s="2" t="s">
        <v>459</v>
      </c>
      <c r="E60" s="2" t="s">
        <v>460</v>
      </c>
    </row>
    <row r="62" spans="2:12">
      <c r="C62" s="31" t="s">
        <v>281</v>
      </c>
    </row>
    <row r="64" spans="2:12">
      <c r="C64" s="22" t="s">
        <v>13</v>
      </c>
      <c r="D64" s="22" t="s">
        <v>14</v>
      </c>
      <c r="E64" s="22" t="s">
        <v>278</v>
      </c>
      <c r="F64" s="22" t="s">
        <v>280</v>
      </c>
      <c r="G64" s="22" t="s">
        <v>282</v>
      </c>
      <c r="H64" s="22" t="s">
        <v>285</v>
      </c>
      <c r="I64" s="22" t="s">
        <v>217</v>
      </c>
      <c r="J64" s="22" t="s">
        <v>218</v>
      </c>
      <c r="K64" s="22" t="s">
        <v>219</v>
      </c>
      <c r="L64" s="22" t="s">
        <v>297</v>
      </c>
    </row>
    <row r="65" spans="3:12">
      <c r="C65" s="73" t="s">
        <v>286</v>
      </c>
      <c r="D65" s="73"/>
      <c r="E65" s="73"/>
      <c r="F65" s="73"/>
      <c r="G65" s="73"/>
      <c r="H65" s="73"/>
      <c r="I65" s="73"/>
      <c r="J65" s="73"/>
      <c r="K65" s="73"/>
      <c r="L65" s="73"/>
    </row>
    <row r="66" spans="3:12">
      <c r="C66" s="19" t="b">
        <v>1</v>
      </c>
      <c r="D66" s="19" t="b">
        <v>1</v>
      </c>
      <c r="E66" s="19" t="b">
        <f>AND(C66,D66)</f>
        <v>1</v>
      </c>
      <c r="F66" s="19" t="b">
        <f>OR(C66,D66)</f>
        <v>1</v>
      </c>
      <c r="G66" s="19" t="b">
        <f>NOT(C66)</f>
        <v>0</v>
      </c>
      <c r="H66" s="19" t="b">
        <f>_xlfn.XOR(C66,D66)</f>
        <v>0</v>
      </c>
      <c r="I66" s="19" t="b">
        <f>NOT(_xlfn.XOR(C66,D66))</f>
        <v>1</v>
      </c>
      <c r="J66" s="2" t="b">
        <v>1</v>
      </c>
      <c r="K66" s="2" t="b">
        <v>1</v>
      </c>
      <c r="L66" s="2" t="b">
        <v>1</v>
      </c>
    </row>
    <row r="67" spans="3:12">
      <c r="C67" s="19" t="b">
        <v>1</v>
      </c>
      <c r="D67" s="19" t="b">
        <v>0</v>
      </c>
      <c r="E67" s="19" t="b">
        <f t="shared" ref="E67:E69" si="0">AND(C67,D67)</f>
        <v>0</v>
      </c>
      <c r="F67" s="19" t="b">
        <f>OR(C67,D67)</f>
        <v>1</v>
      </c>
      <c r="G67" s="19" t="b">
        <f t="shared" ref="G67:G69" si="1">NOT(C67)</f>
        <v>0</v>
      </c>
      <c r="H67" s="19" t="b">
        <f>_xlfn.XOR(C67,D67)</f>
        <v>1</v>
      </c>
      <c r="I67" s="19" t="b">
        <f>NOT(_xlfn.XOR(C67,D67))</f>
        <v>0</v>
      </c>
      <c r="J67" s="2" t="b">
        <v>0</v>
      </c>
      <c r="K67" s="2" t="b">
        <v>1</v>
      </c>
      <c r="L67" s="2" t="b">
        <v>0</v>
      </c>
    </row>
    <row r="68" spans="3:12">
      <c r="C68" s="19" t="b">
        <v>0</v>
      </c>
      <c r="D68" s="19" t="b">
        <v>1</v>
      </c>
      <c r="E68" s="19" t="b">
        <f t="shared" si="0"/>
        <v>0</v>
      </c>
      <c r="F68" s="19" t="b">
        <f>OR(C68,D68)</f>
        <v>1</v>
      </c>
      <c r="G68" s="19" t="b">
        <f t="shared" si="1"/>
        <v>1</v>
      </c>
      <c r="H68" s="19" t="b">
        <f>_xlfn.XOR(C68,D68)</f>
        <v>1</v>
      </c>
      <c r="I68" s="19" t="b">
        <f>NOT(_xlfn.XOR(C68,D68))</f>
        <v>0</v>
      </c>
      <c r="J68" s="2" t="b">
        <v>1</v>
      </c>
      <c r="K68" s="2" t="b">
        <v>0</v>
      </c>
      <c r="L68" s="2" t="b">
        <v>0</v>
      </c>
    </row>
    <row r="69" spans="3:12">
      <c r="C69" s="19" t="b">
        <v>0</v>
      </c>
      <c r="D69" s="19" t="b">
        <v>0</v>
      </c>
      <c r="E69" s="19" t="b">
        <f t="shared" si="0"/>
        <v>0</v>
      </c>
      <c r="F69" s="19" t="b">
        <f>OR(C69,D69)</f>
        <v>0</v>
      </c>
      <c r="G69" s="19" t="b">
        <f t="shared" si="1"/>
        <v>1</v>
      </c>
      <c r="H69" s="19" t="b">
        <f>_xlfn.XOR(C69,D69)</f>
        <v>0</v>
      </c>
      <c r="I69" s="19" t="b">
        <f>NOT(_xlfn.XOR(C69,D69))</f>
        <v>1</v>
      </c>
      <c r="J69" s="2" t="b">
        <v>1</v>
      </c>
      <c r="K69" s="2" t="b">
        <v>1</v>
      </c>
      <c r="L69" s="2" t="b">
        <v>1</v>
      </c>
    </row>
    <row r="70" spans="3:12">
      <c r="C70" s="19"/>
      <c r="D70" s="19"/>
      <c r="E70" s="19"/>
      <c r="F70" s="19"/>
      <c r="G70" s="19"/>
    </row>
    <row r="71" spans="3:12">
      <c r="C71" s="73" t="s">
        <v>287</v>
      </c>
      <c r="D71" s="73"/>
      <c r="E71" s="73"/>
      <c r="F71" s="73"/>
      <c r="G71" s="73"/>
      <c r="H71" s="73"/>
      <c r="I71" s="73"/>
      <c r="J71" s="73"/>
      <c r="K71" s="73"/>
      <c r="L71" s="73"/>
    </row>
    <row r="72" spans="3:12">
      <c r="C72" s="19">
        <v>1</v>
      </c>
      <c r="D72" s="19">
        <v>1</v>
      </c>
      <c r="E72" s="19">
        <f t="shared" ref="E72:E79" si="2">MIN(C72,D72)</f>
        <v>1</v>
      </c>
      <c r="F72" s="19">
        <f t="shared" ref="F72:F79" si="3">MAX(C72,D72)</f>
        <v>1</v>
      </c>
      <c r="G72" s="19">
        <f t="shared" ref="G72:G79" si="4">1-C72</f>
        <v>0</v>
      </c>
      <c r="H72" s="19">
        <f t="shared" ref="H72:H79" si="5">MAX(MIN(C72, 1-D72), MIN(1-C72,D72))</f>
        <v>0</v>
      </c>
      <c r="I72" s="19">
        <f t="shared" ref="I72:I79" si="6">1-MAX(MIN(C72,1-D72),MIN(1-C72,D72))</f>
        <v>1</v>
      </c>
      <c r="J72" s="19">
        <f t="shared" ref="J72:J79" si="7">IF(C72&lt;=D72,1,D72)</f>
        <v>1</v>
      </c>
      <c r="K72" s="19">
        <f t="shared" ref="K72:K79" si="8">IF(D72&lt;=C72,1,C72)</f>
        <v>1</v>
      </c>
      <c r="L72" s="19">
        <f t="shared" ref="L72:L79" si="9">MIN(IF(C72&lt;=D72,1,D72),IF(D72&lt;=C72,1,C72))</f>
        <v>1</v>
      </c>
    </row>
    <row r="73" spans="3:12">
      <c r="C73" s="19">
        <v>1</v>
      </c>
      <c r="D73" s="19">
        <v>0</v>
      </c>
      <c r="E73" s="19">
        <f t="shared" si="2"/>
        <v>0</v>
      </c>
      <c r="F73" s="19">
        <f t="shared" si="3"/>
        <v>1</v>
      </c>
      <c r="G73" s="19">
        <f t="shared" si="4"/>
        <v>0</v>
      </c>
      <c r="H73" s="19">
        <f t="shared" si="5"/>
        <v>1</v>
      </c>
      <c r="I73" s="19">
        <f t="shared" si="6"/>
        <v>0</v>
      </c>
      <c r="J73" s="19">
        <f t="shared" si="7"/>
        <v>0</v>
      </c>
      <c r="K73" s="19">
        <f t="shared" si="8"/>
        <v>1</v>
      </c>
      <c r="L73" s="19">
        <f t="shared" si="9"/>
        <v>0</v>
      </c>
    </row>
    <row r="74" spans="3:12">
      <c r="C74" s="19">
        <v>0</v>
      </c>
      <c r="D74" s="19">
        <v>1</v>
      </c>
      <c r="E74" s="19">
        <f t="shared" si="2"/>
        <v>0</v>
      </c>
      <c r="F74" s="19">
        <f t="shared" si="3"/>
        <v>1</v>
      </c>
      <c r="G74" s="19">
        <f t="shared" si="4"/>
        <v>1</v>
      </c>
      <c r="H74" s="19">
        <f t="shared" si="5"/>
        <v>1</v>
      </c>
      <c r="I74" s="19">
        <f t="shared" si="6"/>
        <v>0</v>
      </c>
      <c r="J74" s="19">
        <f t="shared" si="7"/>
        <v>1</v>
      </c>
      <c r="K74" s="19">
        <f t="shared" si="8"/>
        <v>0</v>
      </c>
      <c r="L74" s="19">
        <f t="shared" si="9"/>
        <v>0</v>
      </c>
    </row>
    <row r="75" spans="3:12">
      <c r="C75" s="19">
        <v>0</v>
      </c>
      <c r="D75" s="19">
        <v>0</v>
      </c>
      <c r="E75" s="19">
        <f t="shared" si="2"/>
        <v>0</v>
      </c>
      <c r="F75" s="19">
        <f t="shared" si="3"/>
        <v>0</v>
      </c>
      <c r="G75" s="19">
        <f t="shared" si="4"/>
        <v>1</v>
      </c>
      <c r="H75" s="19">
        <f t="shared" si="5"/>
        <v>0</v>
      </c>
      <c r="I75" s="19">
        <f t="shared" si="6"/>
        <v>1</v>
      </c>
      <c r="J75" s="19">
        <f t="shared" si="7"/>
        <v>1</v>
      </c>
      <c r="K75" s="19">
        <f t="shared" si="8"/>
        <v>1</v>
      </c>
      <c r="L75" s="19">
        <f t="shared" si="9"/>
        <v>1</v>
      </c>
    </row>
    <row r="76" spans="3:12">
      <c r="C76" s="19">
        <v>0.8</v>
      </c>
      <c r="D76" s="19">
        <v>0.8</v>
      </c>
      <c r="E76" s="19">
        <f t="shared" si="2"/>
        <v>0.8</v>
      </c>
      <c r="F76" s="19">
        <f t="shared" si="3"/>
        <v>0.8</v>
      </c>
      <c r="G76" s="19">
        <f t="shared" si="4"/>
        <v>0.19999999999999996</v>
      </c>
      <c r="H76" s="19">
        <f t="shared" si="5"/>
        <v>0.19999999999999996</v>
      </c>
      <c r="I76" s="19">
        <f t="shared" si="6"/>
        <v>0.8</v>
      </c>
      <c r="J76" s="19">
        <f t="shared" si="7"/>
        <v>1</v>
      </c>
      <c r="K76" s="19">
        <f t="shared" si="8"/>
        <v>1</v>
      </c>
      <c r="L76" s="19">
        <f t="shared" si="9"/>
        <v>1</v>
      </c>
    </row>
    <row r="77" spans="3:12">
      <c r="C77" s="19">
        <v>0.9</v>
      </c>
      <c r="D77" s="19">
        <v>0.1</v>
      </c>
      <c r="E77" s="19">
        <f t="shared" si="2"/>
        <v>0.1</v>
      </c>
      <c r="F77" s="19">
        <f t="shared" si="3"/>
        <v>0.9</v>
      </c>
      <c r="G77" s="19">
        <f t="shared" si="4"/>
        <v>9.9999999999999978E-2</v>
      </c>
      <c r="H77" s="19">
        <f t="shared" si="5"/>
        <v>0.9</v>
      </c>
      <c r="I77" s="19">
        <f t="shared" si="6"/>
        <v>9.9999999999999978E-2</v>
      </c>
      <c r="J77" s="19">
        <f t="shared" si="7"/>
        <v>0.1</v>
      </c>
      <c r="K77" s="19">
        <f t="shared" si="8"/>
        <v>1</v>
      </c>
      <c r="L77" s="19">
        <f t="shared" si="9"/>
        <v>0.1</v>
      </c>
    </row>
    <row r="78" spans="3:12">
      <c r="C78" s="19">
        <v>0.1</v>
      </c>
      <c r="D78" s="19">
        <v>0.9</v>
      </c>
      <c r="E78" s="19">
        <f t="shared" si="2"/>
        <v>0.1</v>
      </c>
      <c r="F78" s="19">
        <f t="shared" si="3"/>
        <v>0.9</v>
      </c>
      <c r="G78" s="19">
        <f t="shared" si="4"/>
        <v>0.9</v>
      </c>
      <c r="H78" s="19">
        <f t="shared" si="5"/>
        <v>0.9</v>
      </c>
      <c r="I78" s="19">
        <f t="shared" si="6"/>
        <v>9.9999999999999978E-2</v>
      </c>
      <c r="J78" s="19">
        <f t="shared" si="7"/>
        <v>1</v>
      </c>
      <c r="K78" s="19">
        <f t="shared" si="8"/>
        <v>0.1</v>
      </c>
      <c r="L78" s="19">
        <f t="shared" si="9"/>
        <v>0.1</v>
      </c>
    </row>
    <row r="79" spans="3:12">
      <c r="C79" s="19">
        <v>0.2</v>
      </c>
      <c r="D79" s="19">
        <v>0.2</v>
      </c>
      <c r="E79" s="19">
        <f t="shared" si="2"/>
        <v>0.2</v>
      </c>
      <c r="F79" s="19">
        <f t="shared" si="3"/>
        <v>0.2</v>
      </c>
      <c r="G79" s="19">
        <f t="shared" si="4"/>
        <v>0.8</v>
      </c>
      <c r="H79" s="19">
        <f t="shared" si="5"/>
        <v>0.2</v>
      </c>
      <c r="I79" s="19">
        <f t="shared" si="6"/>
        <v>0.8</v>
      </c>
      <c r="J79" s="19">
        <f t="shared" si="7"/>
        <v>1</v>
      </c>
      <c r="K79" s="19">
        <f t="shared" si="8"/>
        <v>1</v>
      </c>
      <c r="L79" s="19">
        <f t="shared" si="9"/>
        <v>1</v>
      </c>
    </row>
    <row r="81" spans="3:12">
      <c r="C81" s="73" t="s">
        <v>298</v>
      </c>
      <c r="D81" s="73"/>
      <c r="E81" s="73"/>
      <c r="F81" s="73"/>
      <c r="G81" s="73"/>
      <c r="H81" s="73"/>
      <c r="I81" s="73"/>
      <c r="J81" s="73"/>
      <c r="K81" s="73"/>
      <c r="L81" s="73"/>
    </row>
    <row r="82" spans="3:12">
      <c r="C82" s="19">
        <f t="shared" ref="C82:C89" si="10">C72 * 2 -1</f>
        <v>1</v>
      </c>
      <c r="D82" s="19">
        <f t="shared" ref="D82:L82" si="11">D72 * 2 -1</f>
        <v>1</v>
      </c>
      <c r="E82" s="19">
        <f t="shared" si="11"/>
        <v>1</v>
      </c>
      <c r="F82" s="19">
        <f t="shared" si="11"/>
        <v>1</v>
      </c>
      <c r="G82" s="19">
        <f t="shared" si="11"/>
        <v>-1</v>
      </c>
      <c r="H82" s="19">
        <f t="shared" si="11"/>
        <v>-1</v>
      </c>
      <c r="I82" s="19">
        <f t="shared" si="11"/>
        <v>1</v>
      </c>
      <c r="J82" s="19">
        <f t="shared" si="11"/>
        <v>1</v>
      </c>
      <c r="K82" s="19">
        <f t="shared" si="11"/>
        <v>1</v>
      </c>
      <c r="L82" s="19">
        <f t="shared" si="11"/>
        <v>1</v>
      </c>
    </row>
    <row r="83" spans="3:12">
      <c r="C83" s="19">
        <f t="shared" si="10"/>
        <v>1</v>
      </c>
      <c r="D83" s="19">
        <f t="shared" ref="D83:L83" si="12">D73 * 2 -1</f>
        <v>-1</v>
      </c>
      <c r="E83" s="19">
        <f t="shared" si="12"/>
        <v>-1</v>
      </c>
      <c r="F83" s="19">
        <f t="shared" si="12"/>
        <v>1</v>
      </c>
      <c r="G83" s="19">
        <f t="shared" si="12"/>
        <v>-1</v>
      </c>
      <c r="H83" s="19">
        <f t="shared" si="12"/>
        <v>1</v>
      </c>
      <c r="I83" s="19">
        <f t="shared" si="12"/>
        <v>-1</v>
      </c>
      <c r="J83" s="19">
        <f t="shared" si="12"/>
        <v>-1</v>
      </c>
      <c r="K83" s="19">
        <f t="shared" si="12"/>
        <v>1</v>
      </c>
      <c r="L83" s="19">
        <f t="shared" si="12"/>
        <v>-1</v>
      </c>
    </row>
    <row r="84" spans="3:12">
      <c r="C84" s="19">
        <f t="shared" si="10"/>
        <v>-1</v>
      </c>
      <c r="D84" s="19">
        <f t="shared" ref="D84:L84" si="13">D74 * 2 -1</f>
        <v>1</v>
      </c>
      <c r="E84" s="19">
        <f t="shared" si="13"/>
        <v>-1</v>
      </c>
      <c r="F84" s="19">
        <f t="shared" si="13"/>
        <v>1</v>
      </c>
      <c r="G84" s="19">
        <f t="shared" si="13"/>
        <v>1</v>
      </c>
      <c r="H84" s="19">
        <f t="shared" si="13"/>
        <v>1</v>
      </c>
      <c r="I84" s="19">
        <f t="shared" si="13"/>
        <v>-1</v>
      </c>
      <c r="J84" s="19">
        <f t="shared" si="13"/>
        <v>1</v>
      </c>
      <c r="K84" s="19">
        <f t="shared" si="13"/>
        <v>-1</v>
      </c>
      <c r="L84" s="19">
        <f t="shared" si="13"/>
        <v>-1</v>
      </c>
    </row>
    <row r="85" spans="3:12">
      <c r="C85" s="19">
        <f t="shared" si="10"/>
        <v>-1</v>
      </c>
      <c r="D85" s="19">
        <f t="shared" ref="D85:L85" si="14">D75 * 2 -1</f>
        <v>-1</v>
      </c>
      <c r="E85" s="19">
        <f t="shared" si="14"/>
        <v>-1</v>
      </c>
      <c r="F85" s="19">
        <f t="shared" si="14"/>
        <v>-1</v>
      </c>
      <c r="G85" s="19">
        <f t="shared" si="14"/>
        <v>1</v>
      </c>
      <c r="H85" s="19">
        <f t="shared" si="14"/>
        <v>-1</v>
      </c>
      <c r="I85" s="19">
        <f t="shared" si="14"/>
        <v>1</v>
      </c>
      <c r="J85" s="19">
        <f t="shared" si="14"/>
        <v>1</v>
      </c>
      <c r="K85" s="19">
        <f t="shared" si="14"/>
        <v>1</v>
      </c>
      <c r="L85" s="19">
        <f t="shared" si="14"/>
        <v>1</v>
      </c>
    </row>
    <row r="86" spans="3:12">
      <c r="C86" s="19">
        <f t="shared" si="10"/>
        <v>0.60000000000000009</v>
      </c>
      <c r="D86" s="19">
        <f t="shared" ref="D86:L86" si="15">D76 * 2 -1</f>
        <v>0.60000000000000009</v>
      </c>
      <c r="E86" s="19">
        <f t="shared" si="15"/>
        <v>0.60000000000000009</v>
      </c>
      <c r="F86" s="19">
        <f t="shared" si="15"/>
        <v>0.60000000000000009</v>
      </c>
      <c r="G86" s="19">
        <f t="shared" si="15"/>
        <v>-0.60000000000000009</v>
      </c>
      <c r="H86" s="19">
        <f t="shared" si="15"/>
        <v>-0.60000000000000009</v>
      </c>
      <c r="I86" s="19">
        <f t="shared" si="15"/>
        <v>0.60000000000000009</v>
      </c>
      <c r="J86" s="19">
        <f t="shared" si="15"/>
        <v>1</v>
      </c>
      <c r="K86" s="19">
        <f t="shared" si="15"/>
        <v>1</v>
      </c>
      <c r="L86" s="19">
        <f t="shared" si="15"/>
        <v>1</v>
      </c>
    </row>
    <row r="87" spans="3:12">
      <c r="C87" s="19">
        <f t="shared" si="10"/>
        <v>0.8</v>
      </c>
      <c r="D87" s="19">
        <f t="shared" ref="D87:L87" si="16">D77 * 2 -1</f>
        <v>-0.8</v>
      </c>
      <c r="E87" s="19">
        <f t="shared" si="16"/>
        <v>-0.8</v>
      </c>
      <c r="F87" s="19">
        <f t="shared" si="16"/>
        <v>0.8</v>
      </c>
      <c r="G87" s="19">
        <f t="shared" si="16"/>
        <v>-0.8</v>
      </c>
      <c r="H87" s="19">
        <f t="shared" si="16"/>
        <v>0.8</v>
      </c>
      <c r="I87" s="19">
        <f t="shared" si="16"/>
        <v>-0.8</v>
      </c>
      <c r="J87" s="19">
        <f t="shared" si="16"/>
        <v>-0.8</v>
      </c>
      <c r="K87" s="19">
        <f t="shared" si="16"/>
        <v>1</v>
      </c>
      <c r="L87" s="19">
        <f t="shared" si="16"/>
        <v>-0.8</v>
      </c>
    </row>
    <row r="88" spans="3:12">
      <c r="C88" s="19">
        <f t="shared" si="10"/>
        <v>-0.8</v>
      </c>
      <c r="D88" s="19">
        <f t="shared" ref="D88:L88" si="17">D78 * 2 -1</f>
        <v>0.8</v>
      </c>
      <c r="E88" s="19">
        <f t="shared" si="17"/>
        <v>-0.8</v>
      </c>
      <c r="F88" s="19">
        <f t="shared" si="17"/>
        <v>0.8</v>
      </c>
      <c r="G88" s="19">
        <f t="shared" si="17"/>
        <v>0.8</v>
      </c>
      <c r="H88" s="19">
        <f t="shared" si="17"/>
        <v>0.8</v>
      </c>
      <c r="I88" s="19">
        <f t="shared" si="17"/>
        <v>-0.8</v>
      </c>
      <c r="J88" s="19">
        <f t="shared" si="17"/>
        <v>1</v>
      </c>
      <c r="K88" s="19">
        <f t="shared" si="17"/>
        <v>-0.8</v>
      </c>
      <c r="L88" s="19">
        <f t="shared" si="17"/>
        <v>-0.8</v>
      </c>
    </row>
    <row r="89" spans="3:12">
      <c r="C89" s="19">
        <f t="shared" si="10"/>
        <v>-0.6</v>
      </c>
      <c r="D89" s="19">
        <f t="shared" ref="D89:L89" si="18">D79 * 2 -1</f>
        <v>-0.6</v>
      </c>
      <c r="E89" s="19">
        <f t="shared" si="18"/>
        <v>-0.6</v>
      </c>
      <c r="F89" s="19">
        <f t="shared" si="18"/>
        <v>-0.6</v>
      </c>
      <c r="G89" s="19">
        <f t="shared" si="18"/>
        <v>0.60000000000000009</v>
      </c>
      <c r="H89" s="19">
        <f t="shared" si="18"/>
        <v>-0.6</v>
      </c>
      <c r="I89" s="19">
        <f t="shared" si="18"/>
        <v>0.60000000000000009</v>
      </c>
      <c r="J89" s="19">
        <f t="shared" si="18"/>
        <v>1</v>
      </c>
      <c r="K89" s="19">
        <f t="shared" si="18"/>
        <v>1</v>
      </c>
      <c r="L89" s="19">
        <f t="shared" si="18"/>
        <v>1</v>
      </c>
    </row>
    <row r="91" spans="3:12">
      <c r="C91" s="2" t="s">
        <v>299</v>
      </c>
    </row>
    <row r="93" spans="3:12">
      <c r="C93" s="2" t="s">
        <v>313</v>
      </c>
    </row>
    <row r="95" spans="3:12">
      <c r="C95" s="31" t="s">
        <v>303</v>
      </c>
      <c r="D95" s="31" t="s">
        <v>300</v>
      </c>
      <c r="E95" s="31" t="s">
        <v>306</v>
      </c>
      <c r="F95" s="31" t="s">
        <v>171</v>
      </c>
      <c r="G95" s="31" t="s">
        <v>308</v>
      </c>
      <c r="H95" s="31" t="s">
        <v>309</v>
      </c>
    </row>
    <row r="96" spans="3:12">
      <c r="C96" s="2" t="s">
        <v>304</v>
      </c>
      <c r="D96" s="2" t="s">
        <v>301</v>
      </c>
      <c r="K96" s="31" t="s">
        <v>324</v>
      </c>
    </row>
    <row r="97" spans="3:15">
      <c r="C97" s="2" t="s">
        <v>305</v>
      </c>
      <c r="E97" s="2" t="s">
        <v>305</v>
      </c>
      <c r="F97" s="2" t="s">
        <v>307</v>
      </c>
      <c r="G97" s="2" t="s">
        <v>304</v>
      </c>
      <c r="H97" s="2" t="s">
        <v>310</v>
      </c>
      <c r="I97" s="2" t="s">
        <v>23</v>
      </c>
      <c r="K97" s="2" t="s">
        <v>305</v>
      </c>
      <c r="L97" s="2" t="s">
        <v>322</v>
      </c>
      <c r="M97" s="2" t="s">
        <v>325</v>
      </c>
      <c r="N97" s="2" t="s">
        <v>323</v>
      </c>
    </row>
    <row r="98" spans="3:15">
      <c r="C98" s="2" t="s">
        <v>315</v>
      </c>
      <c r="E98" s="2" t="s">
        <v>304</v>
      </c>
      <c r="F98" s="2" t="s">
        <v>311</v>
      </c>
      <c r="G98" s="2" t="s">
        <v>312</v>
      </c>
      <c r="H98" s="2" t="s">
        <v>314</v>
      </c>
      <c r="I98" s="2" t="s">
        <v>24</v>
      </c>
      <c r="K98" s="2" t="s">
        <v>326</v>
      </c>
      <c r="L98" s="2" t="s">
        <v>327</v>
      </c>
      <c r="M98" s="2" t="s">
        <v>328</v>
      </c>
    </row>
    <row r="99" spans="3:15">
      <c r="D99" s="2" t="s">
        <v>302</v>
      </c>
      <c r="L99" s="2" t="s">
        <v>329</v>
      </c>
      <c r="M99" s="2" t="s">
        <v>328</v>
      </c>
    </row>
    <row r="100" spans="3:15">
      <c r="C100" s="2" t="s">
        <v>315</v>
      </c>
      <c r="E100" s="2" t="s">
        <v>315</v>
      </c>
      <c r="F100" s="2" t="s">
        <v>316</v>
      </c>
      <c r="G100" s="2" t="s">
        <v>317</v>
      </c>
      <c r="I100" s="2" t="s">
        <v>25</v>
      </c>
      <c r="K100" s="2" t="s">
        <v>330</v>
      </c>
      <c r="L100" s="2" t="s">
        <v>329</v>
      </c>
      <c r="M100" s="2" t="s">
        <v>328</v>
      </c>
      <c r="O100" s="2" t="s">
        <v>331</v>
      </c>
    </row>
    <row r="101" spans="3:15">
      <c r="C101" s="2" t="s">
        <v>317</v>
      </c>
      <c r="L101" s="2" t="s">
        <v>327</v>
      </c>
      <c r="M101" s="2" t="s">
        <v>328</v>
      </c>
      <c r="O101" s="2" t="s">
        <v>331</v>
      </c>
    </row>
    <row r="103" spans="3:15">
      <c r="C103" s="2" t="s">
        <v>318</v>
      </c>
    </row>
    <row r="104" spans="3:15">
      <c r="D104" s="31" t="s">
        <v>319</v>
      </c>
      <c r="F104" s="2" t="s">
        <v>320</v>
      </c>
    </row>
    <row r="105" spans="3:15">
      <c r="F105" s="2" t="s">
        <v>321</v>
      </c>
    </row>
  </sheetData>
  <mergeCells count="48">
    <mergeCell ref="J31:P31"/>
    <mergeCell ref="J23:P23"/>
    <mergeCell ref="J7:P7"/>
    <mergeCell ref="J15:P15"/>
    <mergeCell ref="D26:I26"/>
    <mergeCell ref="D27:I27"/>
    <mergeCell ref="D28:I28"/>
    <mergeCell ref="D20:I20"/>
    <mergeCell ref="D19:I19"/>
    <mergeCell ref="D18:I18"/>
    <mergeCell ref="K20:P20"/>
    <mergeCell ref="D17:I17"/>
    <mergeCell ref="C15:I15"/>
    <mergeCell ref="C23:I23"/>
    <mergeCell ref="C31:I31"/>
    <mergeCell ref="C30:P30"/>
    <mergeCell ref="C6:P6"/>
    <mergeCell ref="J9:J12"/>
    <mergeCell ref="J25:J28"/>
    <mergeCell ref="J17:J20"/>
    <mergeCell ref="D25:I25"/>
    <mergeCell ref="C9:C12"/>
    <mergeCell ref="C17:C20"/>
    <mergeCell ref="C25:C28"/>
    <mergeCell ref="K25:P25"/>
    <mergeCell ref="K26:P26"/>
    <mergeCell ref="K27:P27"/>
    <mergeCell ref="K28:P28"/>
    <mergeCell ref="C14:P14"/>
    <mergeCell ref="K17:P17"/>
    <mergeCell ref="K18:P18"/>
    <mergeCell ref="K19:P19"/>
    <mergeCell ref="C22:P22"/>
    <mergeCell ref="K9:P9"/>
    <mergeCell ref="K10:P10"/>
    <mergeCell ref="K11:P11"/>
    <mergeCell ref="K12:P12"/>
    <mergeCell ref="C7:I7"/>
    <mergeCell ref="D12:I12"/>
    <mergeCell ref="D11:I11"/>
    <mergeCell ref="D10:I10"/>
    <mergeCell ref="D9:I9"/>
    <mergeCell ref="C81:L81"/>
    <mergeCell ref="C65:L65"/>
    <mergeCell ref="C71:L71"/>
    <mergeCell ref="K33:P33"/>
    <mergeCell ref="D33:I33"/>
    <mergeCell ref="F36:P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5D0B4-B679-5D48-82AD-BDDDF440A9F2}">
  <dimension ref="B2:D6"/>
  <sheetViews>
    <sheetView zoomScale="150" workbookViewId="0">
      <selection activeCell="B2" sqref="B2"/>
    </sheetView>
  </sheetViews>
  <sheetFormatPr baseColWidth="10" defaultRowHeight="16"/>
  <cols>
    <col min="1" max="1" width="3.33203125" style="3" customWidth="1"/>
    <col min="2" max="2" width="10.83203125" style="3"/>
    <col min="3" max="3" width="53.1640625" style="3" bestFit="1" customWidth="1"/>
    <col min="4" max="4" width="16" style="3" bestFit="1" customWidth="1"/>
    <col min="5" max="5" width="28" style="3" customWidth="1"/>
    <col min="6" max="16384" width="10.83203125" style="3"/>
  </cols>
  <sheetData>
    <row r="2" spans="2:4" ht="26">
      <c r="B2" s="1" t="s">
        <v>267</v>
      </c>
    </row>
    <row r="4" spans="2:4">
      <c r="B4" s="4" t="s">
        <v>264</v>
      </c>
      <c r="C4" s="4" t="s">
        <v>265</v>
      </c>
      <c r="D4" s="4" t="s">
        <v>79</v>
      </c>
    </row>
    <row r="5" spans="2:4" ht="51">
      <c r="B5" s="3" t="s">
        <v>263</v>
      </c>
      <c r="C5" s="6" t="s">
        <v>348</v>
      </c>
      <c r="D5" s="3" t="s">
        <v>268</v>
      </c>
    </row>
    <row r="6" spans="2:4">
      <c r="B6" s="3" t="s">
        <v>266</v>
      </c>
      <c r="C6" s="3" t="s">
        <v>332</v>
      </c>
      <c r="D6" s="3" t="s">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F187D-47D8-524F-BF49-BA78AE579A0A}">
  <sheetPr>
    <tabColor theme="5"/>
  </sheetPr>
  <dimension ref="B2:AG66"/>
  <sheetViews>
    <sheetView topLeftCell="A30" workbookViewId="0">
      <selection activeCell="A30" sqref="A1:XFD1048576"/>
    </sheetView>
  </sheetViews>
  <sheetFormatPr baseColWidth="10" defaultRowHeight="16"/>
  <cols>
    <col min="1" max="1" width="10.83203125" style="2"/>
    <col min="2" max="2" width="17.83203125" style="2" customWidth="1"/>
    <col min="3" max="3" width="17.6640625" style="2" bestFit="1" customWidth="1"/>
    <col min="4" max="4" width="12.33203125" style="2" bestFit="1" customWidth="1"/>
    <col min="5" max="9" width="11" style="2" bestFit="1" customWidth="1"/>
    <col min="10" max="10" width="12.33203125" style="2" bestFit="1" customWidth="1"/>
    <col min="11" max="14" width="10.83203125" style="2"/>
    <col min="15" max="15" width="11" style="2" bestFit="1" customWidth="1"/>
    <col min="16" max="16" width="10.83203125" style="2" customWidth="1"/>
    <col min="17" max="22" width="11" style="2" bestFit="1" customWidth="1"/>
    <col min="23" max="24" width="12.83203125" style="2" bestFit="1" customWidth="1"/>
    <col min="25" max="25" width="11" style="2" bestFit="1" customWidth="1"/>
    <col min="26" max="26" width="12.83203125" style="2" bestFit="1" customWidth="1"/>
    <col min="27" max="27" width="11" style="2" bestFit="1" customWidth="1"/>
    <col min="28" max="28" width="14" style="2" bestFit="1" customWidth="1"/>
    <col min="29" max="29" width="12.5" style="2" bestFit="1" customWidth="1"/>
    <col min="30" max="30" width="11.6640625" style="2" bestFit="1" customWidth="1"/>
    <col min="31" max="31" width="11" style="2" bestFit="1" customWidth="1"/>
    <col min="32" max="32" width="12.33203125" style="2" bestFit="1" customWidth="1"/>
    <col min="33" max="33" width="11" style="2" bestFit="1" customWidth="1"/>
    <col min="34" max="16384" width="10.83203125" style="2"/>
  </cols>
  <sheetData>
    <row r="2" spans="2:33">
      <c r="B2" s="90" t="s">
        <v>68</v>
      </c>
      <c r="C2" s="90"/>
      <c r="D2" s="90"/>
      <c r="E2" s="90"/>
    </row>
    <row r="3" spans="2:33">
      <c r="B3" s="90"/>
      <c r="C3" s="90"/>
      <c r="D3" s="90"/>
      <c r="E3" s="90"/>
      <c r="M3" s="31"/>
    </row>
    <row r="4" spans="2:33">
      <c r="B4" s="90"/>
      <c r="C4" s="90"/>
      <c r="D4" s="90"/>
      <c r="E4" s="90"/>
    </row>
    <row r="5" spans="2:33">
      <c r="B5" s="90"/>
      <c r="C5" s="90"/>
      <c r="D5" s="90"/>
      <c r="E5" s="90"/>
    </row>
    <row r="6" spans="2:33">
      <c r="B6" s="90"/>
      <c r="C6" s="90"/>
      <c r="D6" s="90"/>
      <c r="E6" s="90"/>
      <c r="O6" s="90" t="s">
        <v>33</v>
      </c>
      <c r="P6" s="90"/>
      <c r="Q6" s="90"/>
      <c r="R6" s="90"/>
    </row>
    <row r="7" spans="2:33">
      <c r="O7" s="90"/>
      <c r="P7" s="90"/>
      <c r="Q7" s="90"/>
      <c r="R7" s="90"/>
    </row>
    <row r="8" spans="2:33">
      <c r="C8" s="91" t="s">
        <v>8</v>
      </c>
      <c r="D8" s="91"/>
      <c r="E8" s="91"/>
      <c r="F8" s="91"/>
      <c r="G8" s="91"/>
      <c r="O8" s="90"/>
      <c r="P8" s="90"/>
      <c r="Q8" s="90"/>
      <c r="R8" s="90"/>
    </row>
    <row r="9" spans="2:33">
      <c r="B9" s="33" t="s">
        <v>9</v>
      </c>
      <c r="C9" s="31" t="s">
        <v>1</v>
      </c>
      <c r="D9" s="31" t="s">
        <v>2</v>
      </c>
      <c r="E9" s="31" t="s">
        <v>0</v>
      </c>
      <c r="F9" s="31" t="s">
        <v>3</v>
      </c>
      <c r="G9" s="31" t="s">
        <v>7</v>
      </c>
      <c r="H9" s="31" t="s">
        <v>4</v>
      </c>
      <c r="I9" s="31" t="s">
        <v>10</v>
      </c>
      <c r="J9" s="31" t="s">
        <v>6</v>
      </c>
      <c r="L9" s="31"/>
      <c r="O9" s="90"/>
      <c r="P9" s="90"/>
      <c r="Q9" s="90"/>
      <c r="R9" s="90"/>
    </row>
    <row r="10" spans="2:33">
      <c r="B10" s="31" t="s">
        <v>1</v>
      </c>
      <c r="C10" s="2">
        <v>1</v>
      </c>
      <c r="D10" s="2">
        <v>0</v>
      </c>
      <c r="E10" s="2">
        <v>0</v>
      </c>
      <c r="F10" s="2">
        <v>0</v>
      </c>
      <c r="G10" s="2">
        <v>0</v>
      </c>
      <c r="H10" s="2">
        <v>0</v>
      </c>
      <c r="I10" s="2">
        <v>0</v>
      </c>
      <c r="J10" s="2">
        <v>0</v>
      </c>
      <c r="O10" s="90"/>
      <c r="P10" s="90"/>
      <c r="Q10" s="90"/>
      <c r="R10" s="90"/>
    </row>
    <row r="11" spans="2:33">
      <c r="B11" s="31" t="s">
        <v>2</v>
      </c>
      <c r="C11" s="2">
        <v>0</v>
      </c>
      <c r="D11" s="2">
        <v>1</v>
      </c>
      <c r="E11" s="2">
        <v>0</v>
      </c>
      <c r="F11" s="2">
        <v>0</v>
      </c>
      <c r="G11" s="2">
        <v>0</v>
      </c>
      <c r="H11" s="2">
        <v>0</v>
      </c>
      <c r="I11" s="2">
        <v>0</v>
      </c>
      <c r="J11" s="2">
        <v>0</v>
      </c>
    </row>
    <row r="12" spans="2:33">
      <c r="B12" s="31" t="s">
        <v>0</v>
      </c>
      <c r="C12" s="2">
        <v>0</v>
      </c>
      <c r="D12" s="2">
        <v>0</v>
      </c>
      <c r="E12" s="2">
        <v>1</v>
      </c>
      <c r="F12" s="2">
        <v>0</v>
      </c>
      <c r="G12" s="2">
        <v>0</v>
      </c>
      <c r="H12" s="2">
        <v>0</v>
      </c>
      <c r="I12" s="2">
        <v>0</v>
      </c>
      <c r="J12" s="2">
        <v>0</v>
      </c>
    </row>
    <row r="13" spans="2:33">
      <c r="B13" s="31" t="s">
        <v>3</v>
      </c>
      <c r="C13" s="2">
        <v>0</v>
      </c>
      <c r="D13" s="2">
        <v>0</v>
      </c>
      <c r="E13" s="2">
        <v>0</v>
      </c>
      <c r="F13" s="2">
        <v>1</v>
      </c>
      <c r="G13" s="2">
        <v>0</v>
      </c>
      <c r="H13" s="2">
        <v>0</v>
      </c>
      <c r="I13" s="2">
        <v>0</v>
      </c>
      <c r="J13" s="2">
        <v>0</v>
      </c>
    </row>
    <row r="14" spans="2:33">
      <c r="B14" s="31" t="s">
        <v>7</v>
      </c>
      <c r="C14" s="2">
        <v>0</v>
      </c>
      <c r="D14" s="2">
        <v>0</v>
      </c>
      <c r="E14" s="2">
        <v>0</v>
      </c>
      <c r="F14" s="2">
        <v>0</v>
      </c>
      <c r="G14" s="2">
        <v>1</v>
      </c>
      <c r="H14" s="2">
        <v>0</v>
      </c>
      <c r="I14" s="2">
        <v>0</v>
      </c>
      <c r="J14" s="2">
        <v>0</v>
      </c>
      <c r="O14" s="2" t="s">
        <v>23</v>
      </c>
      <c r="P14" s="2" t="s">
        <v>24</v>
      </c>
      <c r="Q14" s="2" t="s">
        <v>25</v>
      </c>
      <c r="V14" s="2" t="s">
        <v>31</v>
      </c>
      <c r="W14" s="19" t="s">
        <v>26</v>
      </c>
      <c r="X14" s="19" t="s">
        <v>36</v>
      </c>
      <c r="Y14" s="19" t="s">
        <v>28</v>
      </c>
      <c r="Z14" s="19" t="s">
        <v>37</v>
      </c>
      <c r="AA14" s="19" t="s">
        <v>28</v>
      </c>
      <c r="AB14" s="19" t="s">
        <v>39</v>
      </c>
      <c r="AC14" s="19" t="s">
        <v>40</v>
      </c>
      <c r="AD14" s="19" t="s">
        <v>45</v>
      </c>
      <c r="AE14" s="19" t="s">
        <v>40</v>
      </c>
      <c r="AF14" s="19" t="s">
        <v>46</v>
      </c>
      <c r="AG14" s="19" t="s">
        <v>47</v>
      </c>
    </row>
    <row r="15" spans="2:33">
      <c r="B15" s="31" t="s">
        <v>4</v>
      </c>
      <c r="C15" s="2">
        <v>0</v>
      </c>
      <c r="D15" s="2">
        <v>0</v>
      </c>
      <c r="E15" s="2">
        <v>0</v>
      </c>
      <c r="F15" s="2">
        <v>0</v>
      </c>
      <c r="G15" s="2">
        <v>0</v>
      </c>
      <c r="H15" s="2">
        <v>1</v>
      </c>
      <c r="I15" s="2">
        <v>-1</v>
      </c>
      <c r="J15" s="2">
        <v>0</v>
      </c>
      <c r="N15" s="34" t="s">
        <v>23</v>
      </c>
      <c r="O15" s="35">
        <v>1</v>
      </c>
      <c r="P15" s="35">
        <v>1</v>
      </c>
      <c r="Q15" s="35">
        <v>3</v>
      </c>
      <c r="V15" s="36">
        <v>3</v>
      </c>
      <c r="W15" s="35">
        <v>9</v>
      </c>
      <c r="X15" s="37">
        <f>((V15-1) * V15) / 2</f>
        <v>3</v>
      </c>
      <c r="Y15" s="38">
        <f t="shared" ref="Y15:Y31" si="0">X15*100/W15</f>
        <v>33.333333333333336</v>
      </c>
      <c r="Z15" s="38">
        <f>(V15 * (V15+1)) / 2</f>
        <v>6</v>
      </c>
      <c r="AA15" s="38">
        <f>Z15*100/W15</f>
        <v>66.666666666666671</v>
      </c>
      <c r="AB15" s="38">
        <f t="shared" ref="AB15:AB42" si="1">((V15 * (V15+1)) / 2)*4*V15</f>
        <v>72</v>
      </c>
      <c r="AC15" s="38">
        <f>AB15/(1024*1024*1024)</f>
        <v>6.7055225372314453E-8</v>
      </c>
      <c r="AD15" s="38">
        <f>5000*V15</f>
        <v>15000</v>
      </c>
      <c r="AE15" s="38">
        <f>AD15/(1024*1024*1024)</f>
        <v>1.3969838619232178E-5</v>
      </c>
      <c r="AF15" s="38">
        <f>AD15/(1024*1024)</f>
        <v>1.430511474609375E-2</v>
      </c>
      <c r="AG15" s="38">
        <f>AD15/1024</f>
        <v>14.6484375</v>
      </c>
    </row>
    <row r="16" spans="2:33">
      <c r="B16" s="31" t="s">
        <v>10</v>
      </c>
      <c r="C16" s="2">
        <v>0</v>
      </c>
      <c r="D16" s="2">
        <v>0</v>
      </c>
      <c r="E16" s="2">
        <v>0</v>
      </c>
      <c r="F16" s="2">
        <v>0</v>
      </c>
      <c r="G16" s="2">
        <v>0</v>
      </c>
      <c r="H16" s="2">
        <v>-1</v>
      </c>
      <c r="I16" s="2">
        <v>1</v>
      </c>
      <c r="J16" s="2">
        <v>0</v>
      </c>
      <c r="N16" s="34" t="s">
        <v>24</v>
      </c>
      <c r="O16" s="39">
        <v>1</v>
      </c>
      <c r="P16" s="35">
        <v>1</v>
      </c>
      <c r="Q16" s="35">
        <v>2</v>
      </c>
      <c r="V16" s="36">
        <v>4</v>
      </c>
      <c r="W16" s="35">
        <v>16</v>
      </c>
      <c r="X16" s="37">
        <f>((V16-1) * V16) / 2</f>
        <v>6</v>
      </c>
      <c r="Y16" s="38">
        <f t="shared" si="0"/>
        <v>37.5</v>
      </c>
      <c r="Z16" s="38">
        <f>(V16 * (V16+1)) / 2</f>
        <v>10</v>
      </c>
      <c r="AA16" s="38">
        <f t="shared" ref="AA16:AA42" si="2">Z16*100/W16</f>
        <v>62.5</v>
      </c>
      <c r="AB16" s="38">
        <f t="shared" si="1"/>
        <v>160</v>
      </c>
      <c r="AC16" s="38">
        <f t="shared" ref="AC16:AC42" si="3">AB16/(1024*1024*1024)</f>
        <v>1.4901161193847656E-7</v>
      </c>
      <c r="AD16" s="38">
        <f t="shared" ref="AD16:AD42" si="4">5000*V16</f>
        <v>20000</v>
      </c>
      <c r="AE16" s="38">
        <f t="shared" ref="AE16:AE42" si="5">AD16/(1024*1024*1024)</f>
        <v>1.862645149230957E-5</v>
      </c>
      <c r="AF16" s="38">
        <f t="shared" ref="AF16:AF42" si="6">AD16/(1024*1024)</f>
        <v>1.9073486328125E-2</v>
      </c>
      <c r="AG16" s="38">
        <f t="shared" ref="AG16:AG42" si="7">AD16/1024</f>
        <v>19.53125</v>
      </c>
    </row>
    <row r="17" spans="2:33">
      <c r="B17" s="31" t="s">
        <v>6</v>
      </c>
      <c r="C17" s="2">
        <v>0</v>
      </c>
      <c r="D17" s="2">
        <v>0</v>
      </c>
      <c r="E17" s="2">
        <v>0</v>
      </c>
      <c r="F17" s="2">
        <v>0</v>
      </c>
      <c r="G17" s="2">
        <v>0</v>
      </c>
      <c r="H17" s="2">
        <v>0</v>
      </c>
      <c r="I17" s="2">
        <v>0</v>
      </c>
      <c r="J17" s="2">
        <v>1</v>
      </c>
      <c r="N17" s="34" t="s">
        <v>25</v>
      </c>
      <c r="O17" s="39">
        <v>3</v>
      </c>
      <c r="P17" s="39">
        <v>2</v>
      </c>
      <c r="Q17" s="35">
        <v>1</v>
      </c>
      <c r="V17" s="36">
        <v>5</v>
      </c>
      <c r="W17" s="35">
        <v>25</v>
      </c>
      <c r="X17" s="37">
        <f>((V17-1) * V17) / 2</f>
        <v>10</v>
      </c>
      <c r="Y17" s="38">
        <f t="shared" si="0"/>
        <v>40</v>
      </c>
      <c r="Z17" s="38">
        <f>(V17 * (V17+1)) / 2</f>
        <v>15</v>
      </c>
      <c r="AA17" s="38">
        <f t="shared" si="2"/>
        <v>60</v>
      </c>
      <c r="AB17" s="38">
        <f t="shared" si="1"/>
        <v>300</v>
      </c>
      <c r="AC17" s="38">
        <f t="shared" si="3"/>
        <v>2.7939677238464355E-7</v>
      </c>
      <c r="AD17" s="38">
        <f t="shared" si="4"/>
        <v>25000</v>
      </c>
      <c r="AE17" s="38">
        <f t="shared" si="5"/>
        <v>2.3283064365386963E-5</v>
      </c>
      <c r="AF17" s="38">
        <f t="shared" si="6"/>
        <v>2.384185791015625E-2</v>
      </c>
      <c r="AG17" s="38">
        <f t="shared" si="7"/>
        <v>24.4140625</v>
      </c>
    </row>
    <row r="18" spans="2:33">
      <c r="V18" s="36">
        <v>6</v>
      </c>
      <c r="W18" s="35">
        <v>36</v>
      </c>
      <c r="X18" s="37">
        <f>((V18-1) * V18) / 2</f>
        <v>15</v>
      </c>
      <c r="Y18" s="38">
        <f t="shared" si="0"/>
        <v>41.666666666666664</v>
      </c>
      <c r="Z18" s="38">
        <f t="shared" ref="Z18:Z42" si="8">(V18 * (V18+1)) / 2</f>
        <v>21</v>
      </c>
      <c r="AA18" s="38">
        <f t="shared" si="2"/>
        <v>58.333333333333336</v>
      </c>
      <c r="AB18" s="38">
        <f t="shared" si="1"/>
        <v>504</v>
      </c>
      <c r="AC18" s="38">
        <f t="shared" si="3"/>
        <v>4.6938657760620117E-7</v>
      </c>
      <c r="AD18" s="38">
        <f t="shared" si="4"/>
        <v>30000</v>
      </c>
      <c r="AE18" s="38">
        <f t="shared" si="5"/>
        <v>2.7939677238464355E-5</v>
      </c>
      <c r="AF18" s="38">
        <f t="shared" si="6"/>
        <v>2.86102294921875E-2</v>
      </c>
      <c r="AG18" s="38">
        <f t="shared" si="7"/>
        <v>29.296875</v>
      </c>
    </row>
    <row r="19" spans="2:33">
      <c r="O19" s="2" t="s">
        <v>23</v>
      </c>
      <c r="P19" s="2" t="s">
        <v>24</v>
      </c>
      <c r="Q19" s="2" t="s">
        <v>25</v>
      </c>
      <c r="R19" s="2" t="s">
        <v>27</v>
      </c>
      <c r="V19" s="36">
        <v>7</v>
      </c>
      <c r="W19" s="35">
        <f t="shared" ref="W19:W31" si="9">V19*V19</f>
        <v>49</v>
      </c>
      <c r="X19" s="37">
        <f>((V19-1) * V19) / 2</f>
        <v>21</v>
      </c>
      <c r="Y19" s="38">
        <f t="shared" si="0"/>
        <v>42.857142857142854</v>
      </c>
      <c r="Z19" s="38">
        <f t="shared" si="8"/>
        <v>28</v>
      </c>
      <c r="AA19" s="38">
        <f t="shared" si="2"/>
        <v>57.142857142857146</v>
      </c>
      <c r="AB19" s="38">
        <f t="shared" si="1"/>
        <v>784</v>
      </c>
      <c r="AC19" s="38">
        <f t="shared" si="3"/>
        <v>7.3015689849853516E-7</v>
      </c>
      <c r="AD19" s="38">
        <f t="shared" si="4"/>
        <v>35000</v>
      </c>
      <c r="AE19" s="38">
        <f t="shared" si="5"/>
        <v>3.2596290111541748E-5</v>
      </c>
      <c r="AF19" s="38">
        <f t="shared" si="6"/>
        <v>3.337860107421875E-2</v>
      </c>
      <c r="AG19" s="38">
        <f t="shared" si="7"/>
        <v>34.1796875</v>
      </c>
    </row>
    <row r="20" spans="2:33">
      <c r="N20" s="34" t="s">
        <v>23</v>
      </c>
      <c r="O20" s="35">
        <v>1</v>
      </c>
      <c r="P20" s="35">
        <v>1</v>
      </c>
      <c r="Q20" s="35">
        <v>3</v>
      </c>
      <c r="R20" s="35">
        <v>4</v>
      </c>
      <c r="V20" s="36">
        <v>8</v>
      </c>
      <c r="W20" s="35">
        <f t="shared" si="9"/>
        <v>64</v>
      </c>
      <c r="X20" s="37">
        <f t="shared" ref="X20:X42" si="10">((V20-1) * V20) / 2</f>
        <v>28</v>
      </c>
      <c r="Y20" s="38">
        <f t="shared" si="0"/>
        <v>43.75</v>
      </c>
      <c r="Z20" s="38">
        <f t="shared" si="8"/>
        <v>36</v>
      </c>
      <c r="AA20" s="38">
        <f t="shared" si="2"/>
        <v>56.25</v>
      </c>
      <c r="AB20" s="38">
        <f t="shared" si="1"/>
        <v>1152</v>
      </c>
      <c r="AC20" s="38">
        <f t="shared" si="3"/>
        <v>1.0728836059570312E-6</v>
      </c>
      <c r="AD20" s="38">
        <f t="shared" si="4"/>
        <v>40000</v>
      </c>
      <c r="AE20" s="38">
        <f t="shared" si="5"/>
        <v>3.7252902984619141E-5</v>
      </c>
      <c r="AF20" s="38">
        <f t="shared" si="6"/>
        <v>3.814697265625E-2</v>
      </c>
      <c r="AG20" s="38">
        <f t="shared" si="7"/>
        <v>39.0625</v>
      </c>
    </row>
    <row r="21" spans="2:33">
      <c r="C21" s="2" t="s">
        <v>1</v>
      </c>
      <c r="D21" s="2" t="s">
        <v>2</v>
      </c>
      <c r="E21" s="2" t="s">
        <v>0</v>
      </c>
      <c r="F21" s="2" t="s">
        <v>3</v>
      </c>
      <c r="N21" s="34" t="s">
        <v>24</v>
      </c>
      <c r="O21" s="39">
        <v>1</v>
      </c>
      <c r="P21" s="35">
        <v>1</v>
      </c>
      <c r="Q21" s="35">
        <v>2</v>
      </c>
      <c r="R21" s="35">
        <v>5</v>
      </c>
      <c r="V21" s="36">
        <v>9</v>
      </c>
      <c r="W21" s="35">
        <f t="shared" si="9"/>
        <v>81</v>
      </c>
      <c r="X21" s="37">
        <f t="shared" si="10"/>
        <v>36</v>
      </c>
      <c r="Y21" s="38">
        <f t="shared" si="0"/>
        <v>44.444444444444443</v>
      </c>
      <c r="Z21" s="38">
        <f t="shared" si="8"/>
        <v>45</v>
      </c>
      <c r="AA21" s="38">
        <f t="shared" si="2"/>
        <v>55.555555555555557</v>
      </c>
      <c r="AB21" s="38">
        <f t="shared" si="1"/>
        <v>1620</v>
      </c>
      <c r="AC21" s="38">
        <f t="shared" si="3"/>
        <v>1.5087425708770752E-6</v>
      </c>
      <c r="AD21" s="38">
        <f t="shared" si="4"/>
        <v>45000</v>
      </c>
      <c r="AE21" s="38">
        <f t="shared" si="5"/>
        <v>4.1909515857696533E-5</v>
      </c>
      <c r="AF21" s="38">
        <f t="shared" si="6"/>
        <v>4.291534423828125E-2</v>
      </c>
      <c r="AG21" s="38">
        <f t="shared" si="7"/>
        <v>43.9453125</v>
      </c>
    </row>
    <row r="22" spans="2:33">
      <c r="C22" s="2" t="s">
        <v>1</v>
      </c>
      <c r="D22" s="2" t="s">
        <v>2</v>
      </c>
      <c r="E22" s="2" t="s">
        <v>10</v>
      </c>
      <c r="N22" s="34" t="s">
        <v>25</v>
      </c>
      <c r="O22" s="39">
        <v>3</v>
      </c>
      <c r="P22" s="39">
        <v>2</v>
      </c>
      <c r="Q22" s="35">
        <v>1</v>
      </c>
      <c r="R22" s="35">
        <v>6</v>
      </c>
      <c r="V22" s="36">
        <v>10</v>
      </c>
      <c r="W22" s="35">
        <f t="shared" si="9"/>
        <v>100</v>
      </c>
      <c r="X22" s="37">
        <f t="shared" si="10"/>
        <v>45</v>
      </c>
      <c r="Y22" s="38">
        <f t="shared" si="0"/>
        <v>45</v>
      </c>
      <c r="Z22" s="38">
        <f t="shared" si="8"/>
        <v>55</v>
      </c>
      <c r="AA22" s="38">
        <f t="shared" si="2"/>
        <v>55</v>
      </c>
      <c r="AB22" s="38">
        <f t="shared" si="1"/>
        <v>2200</v>
      </c>
      <c r="AC22" s="38">
        <f t="shared" si="3"/>
        <v>2.0489096641540527E-6</v>
      </c>
      <c r="AD22" s="38">
        <f t="shared" si="4"/>
        <v>50000</v>
      </c>
      <c r="AE22" s="38">
        <f t="shared" si="5"/>
        <v>4.6566128730773926E-5</v>
      </c>
      <c r="AF22" s="38">
        <f t="shared" si="6"/>
        <v>4.76837158203125E-2</v>
      </c>
      <c r="AG22" s="38">
        <f t="shared" si="7"/>
        <v>48.828125</v>
      </c>
    </row>
    <row r="23" spans="2:33">
      <c r="C23" s="2" t="s">
        <v>5</v>
      </c>
      <c r="D23" s="2" t="s">
        <v>11</v>
      </c>
      <c r="E23" s="2" t="s">
        <v>6</v>
      </c>
      <c r="N23" s="34" t="s">
        <v>27</v>
      </c>
      <c r="O23" s="39">
        <v>4</v>
      </c>
      <c r="P23" s="39">
        <v>5</v>
      </c>
      <c r="Q23" s="39">
        <v>6</v>
      </c>
      <c r="R23" s="35">
        <v>1</v>
      </c>
      <c r="V23" s="36">
        <v>11</v>
      </c>
      <c r="W23" s="35">
        <f t="shared" si="9"/>
        <v>121</v>
      </c>
      <c r="X23" s="37">
        <f t="shared" si="10"/>
        <v>55</v>
      </c>
      <c r="Y23" s="38">
        <f t="shared" si="0"/>
        <v>45.454545454545453</v>
      </c>
      <c r="Z23" s="38">
        <f t="shared" si="8"/>
        <v>66</v>
      </c>
      <c r="AA23" s="38">
        <f t="shared" si="2"/>
        <v>54.545454545454547</v>
      </c>
      <c r="AB23" s="38">
        <f t="shared" si="1"/>
        <v>2904</v>
      </c>
      <c r="AC23" s="38">
        <f t="shared" si="3"/>
        <v>2.7045607566833496E-6</v>
      </c>
      <c r="AD23" s="38">
        <f t="shared" si="4"/>
        <v>55000</v>
      </c>
      <c r="AE23" s="38">
        <f t="shared" si="5"/>
        <v>5.1222741603851318E-5</v>
      </c>
      <c r="AF23" s="38">
        <f t="shared" si="6"/>
        <v>5.245208740234375E-2</v>
      </c>
      <c r="AG23" s="38">
        <f t="shared" si="7"/>
        <v>53.7109375</v>
      </c>
    </row>
    <row r="24" spans="2:33">
      <c r="V24" s="36">
        <v>12</v>
      </c>
      <c r="W24" s="35">
        <f t="shared" si="9"/>
        <v>144</v>
      </c>
      <c r="X24" s="37">
        <f t="shared" si="10"/>
        <v>66</v>
      </c>
      <c r="Y24" s="38">
        <f t="shared" si="0"/>
        <v>45.833333333333336</v>
      </c>
      <c r="Z24" s="38">
        <f t="shared" si="8"/>
        <v>78</v>
      </c>
      <c r="AA24" s="38">
        <f t="shared" si="2"/>
        <v>54.166666666666664</v>
      </c>
      <c r="AB24" s="38">
        <f t="shared" si="1"/>
        <v>3744</v>
      </c>
      <c r="AC24" s="38">
        <f t="shared" si="3"/>
        <v>3.4868717193603516E-6</v>
      </c>
      <c r="AD24" s="38">
        <f t="shared" si="4"/>
        <v>60000</v>
      </c>
      <c r="AE24" s="38">
        <f t="shared" si="5"/>
        <v>5.5879354476928711E-5</v>
      </c>
      <c r="AF24" s="38">
        <f t="shared" si="6"/>
        <v>5.7220458984375E-2</v>
      </c>
      <c r="AG24" s="38">
        <f t="shared" si="7"/>
        <v>58.59375</v>
      </c>
    </row>
    <row r="25" spans="2:33">
      <c r="B25" s="90" t="s">
        <v>69</v>
      </c>
      <c r="C25" s="90"/>
      <c r="D25" s="90"/>
      <c r="E25" s="90"/>
      <c r="O25" s="2" t="s">
        <v>23</v>
      </c>
      <c r="P25" s="2" t="s">
        <v>24</v>
      </c>
      <c r="Q25" s="2" t="s">
        <v>25</v>
      </c>
      <c r="R25" s="2" t="s">
        <v>27</v>
      </c>
      <c r="S25" s="2" t="s">
        <v>29</v>
      </c>
      <c r="T25" s="2" t="s">
        <v>30</v>
      </c>
      <c r="U25" s="19"/>
      <c r="V25" s="36">
        <v>13</v>
      </c>
      <c r="W25" s="35">
        <f t="shared" si="9"/>
        <v>169</v>
      </c>
      <c r="X25" s="37">
        <f t="shared" si="10"/>
        <v>78</v>
      </c>
      <c r="Y25" s="38">
        <f t="shared" si="0"/>
        <v>46.153846153846153</v>
      </c>
      <c r="Z25" s="38">
        <f t="shared" si="8"/>
        <v>91</v>
      </c>
      <c r="AA25" s="38">
        <f t="shared" si="2"/>
        <v>53.846153846153847</v>
      </c>
      <c r="AB25" s="38">
        <f t="shared" si="1"/>
        <v>4732</v>
      </c>
      <c r="AC25" s="38">
        <f t="shared" si="3"/>
        <v>4.4070184230804443E-6</v>
      </c>
      <c r="AD25" s="38">
        <f t="shared" si="4"/>
        <v>65000</v>
      </c>
      <c r="AE25" s="38">
        <f t="shared" si="5"/>
        <v>6.0535967350006104E-5</v>
      </c>
      <c r="AF25" s="38">
        <f t="shared" si="6"/>
        <v>6.198883056640625E-2</v>
      </c>
      <c r="AG25" s="38">
        <f t="shared" si="7"/>
        <v>63.4765625</v>
      </c>
    </row>
    <row r="26" spans="2:33" ht="16" customHeight="1">
      <c r="B26" s="90"/>
      <c r="C26" s="90"/>
      <c r="D26" s="90"/>
      <c r="E26" s="90"/>
      <c r="N26" s="34" t="s">
        <v>23</v>
      </c>
      <c r="O26" s="35">
        <v>1</v>
      </c>
      <c r="P26" s="35">
        <v>1</v>
      </c>
      <c r="Q26" s="35">
        <v>3</v>
      </c>
      <c r="R26" s="35">
        <v>4</v>
      </c>
      <c r="S26" s="35">
        <v>7</v>
      </c>
      <c r="T26" s="35">
        <v>7</v>
      </c>
      <c r="V26" s="36">
        <v>14</v>
      </c>
      <c r="W26" s="35">
        <f t="shared" si="9"/>
        <v>196</v>
      </c>
      <c r="X26" s="37">
        <f t="shared" si="10"/>
        <v>91</v>
      </c>
      <c r="Y26" s="38">
        <f t="shared" si="0"/>
        <v>46.428571428571431</v>
      </c>
      <c r="Z26" s="38">
        <f t="shared" si="8"/>
        <v>105</v>
      </c>
      <c r="AA26" s="38">
        <f t="shared" si="2"/>
        <v>53.571428571428569</v>
      </c>
      <c r="AB26" s="38">
        <f t="shared" si="1"/>
        <v>5880</v>
      </c>
      <c r="AC26" s="38">
        <f t="shared" si="3"/>
        <v>5.4761767387390137E-6</v>
      </c>
      <c r="AD26" s="38">
        <f t="shared" si="4"/>
        <v>70000</v>
      </c>
      <c r="AE26" s="38">
        <f t="shared" si="5"/>
        <v>6.5192580223083496E-5</v>
      </c>
      <c r="AF26" s="38">
        <f t="shared" si="6"/>
        <v>6.67572021484375E-2</v>
      </c>
      <c r="AG26" s="38">
        <f t="shared" si="7"/>
        <v>68.359375</v>
      </c>
    </row>
    <row r="27" spans="2:33" ht="16" customHeight="1">
      <c r="B27" s="90"/>
      <c r="C27" s="90"/>
      <c r="D27" s="90"/>
      <c r="E27" s="90"/>
      <c r="N27" s="34" t="s">
        <v>24</v>
      </c>
      <c r="O27" s="39">
        <v>1</v>
      </c>
      <c r="P27" s="35">
        <v>1</v>
      </c>
      <c r="Q27" s="35">
        <v>2</v>
      </c>
      <c r="R27" s="35">
        <v>5</v>
      </c>
      <c r="S27" s="35">
        <v>8</v>
      </c>
      <c r="T27" s="35">
        <v>7</v>
      </c>
      <c r="V27" s="36">
        <v>15</v>
      </c>
      <c r="W27" s="35">
        <f t="shared" si="9"/>
        <v>225</v>
      </c>
      <c r="X27" s="37">
        <f t="shared" si="10"/>
        <v>105</v>
      </c>
      <c r="Y27" s="38">
        <f t="shared" si="0"/>
        <v>46.666666666666664</v>
      </c>
      <c r="Z27" s="38">
        <f t="shared" si="8"/>
        <v>120</v>
      </c>
      <c r="AA27" s="38">
        <f t="shared" si="2"/>
        <v>53.333333333333336</v>
      </c>
      <c r="AB27" s="38">
        <f t="shared" si="1"/>
        <v>7200</v>
      </c>
      <c r="AC27" s="38">
        <f t="shared" si="3"/>
        <v>6.7055225372314453E-6</v>
      </c>
      <c r="AD27" s="38">
        <f t="shared" si="4"/>
        <v>75000</v>
      </c>
      <c r="AE27" s="38">
        <f t="shared" si="5"/>
        <v>6.9849193096160889E-5</v>
      </c>
      <c r="AF27" s="38">
        <f t="shared" si="6"/>
        <v>7.152557373046875E-2</v>
      </c>
      <c r="AG27" s="38">
        <f t="shared" si="7"/>
        <v>73.2421875</v>
      </c>
    </row>
    <row r="28" spans="2:33" ht="16" customHeight="1">
      <c r="B28" s="90"/>
      <c r="C28" s="90"/>
      <c r="D28" s="90"/>
      <c r="E28" s="90"/>
      <c r="N28" s="34" t="s">
        <v>25</v>
      </c>
      <c r="O28" s="39">
        <v>3</v>
      </c>
      <c r="P28" s="39">
        <v>2</v>
      </c>
      <c r="Q28" s="35">
        <v>1</v>
      </c>
      <c r="R28" s="35">
        <v>6</v>
      </c>
      <c r="S28" s="35">
        <v>9</v>
      </c>
      <c r="T28" s="35">
        <v>7</v>
      </c>
      <c r="V28" s="36">
        <v>16</v>
      </c>
      <c r="W28" s="35">
        <f t="shared" si="9"/>
        <v>256</v>
      </c>
      <c r="X28" s="37">
        <f t="shared" si="10"/>
        <v>120</v>
      </c>
      <c r="Y28" s="38">
        <f t="shared" si="0"/>
        <v>46.875</v>
      </c>
      <c r="Z28" s="38">
        <f t="shared" si="8"/>
        <v>136</v>
      </c>
      <c r="AA28" s="38">
        <f t="shared" si="2"/>
        <v>53.125</v>
      </c>
      <c r="AB28" s="38">
        <f t="shared" si="1"/>
        <v>8704</v>
      </c>
      <c r="AC28" s="38">
        <f t="shared" si="3"/>
        <v>8.106231689453125E-6</v>
      </c>
      <c r="AD28" s="38">
        <f t="shared" si="4"/>
        <v>80000</v>
      </c>
      <c r="AE28" s="38">
        <f t="shared" si="5"/>
        <v>7.4505805969238281E-5</v>
      </c>
      <c r="AF28" s="38">
        <f t="shared" si="6"/>
        <v>7.62939453125E-2</v>
      </c>
      <c r="AG28" s="38">
        <f t="shared" si="7"/>
        <v>78.125</v>
      </c>
    </row>
    <row r="29" spans="2:33" ht="16" customHeight="1">
      <c r="B29" s="90"/>
      <c r="C29" s="90"/>
      <c r="D29" s="90"/>
      <c r="E29" s="90"/>
      <c r="N29" s="34" t="s">
        <v>27</v>
      </c>
      <c r="O29" s="39">
        <v>4</v>
      </c>
      <c r="P29" s="39">
        <v>5</v>
      </c>
      <c r="Q29" s="39">
        <v>6</v>
      </c>
      <c r="R29" s="35">
        <v>1</v>
      </c>
      <c r="S29" s="35">
        <v>10</v>
      </c>
      <c r="T29" s="35">
        <v>7</v>
      </c>
      <c r="V29" s="36">
        <v>17</v>
      </c>
      <c r="W29" s="35">
        <f t="shared" si="9"/>
        <v>289</v>
      </c>
      <c r="X29" s="37">
        <f t="shared" si="10"/>
        <v>136</v>
      </c>
      <c r="Y29" s="38">
        <f t="shared" si="0"/>
        <v>47.058823529411768</v>
      </c>
      <c r="Z29" s="38">
        <f t="shared" si="8"/>
        <v>153</v>
      </c>
      <c r="AA29" s="38">
        <f t="shared" si="2"/>
        <v>52.941176470588232</v>
      </c>
      <c r="AB29" s="38">
        <f t="shared" si="1"/>
        <v>10404</v>
      </c>
      <c r="AC29" s="38">
        <f t="shared" si="3"/>
        <v>9.6894800662994385E-6</v>
      </c>
      <c r="AD29" s="38">
        <f t="shared" si="4"/>
        <v>85000</v>
      </c>
      <c r="AE29" s="38">
        <f t="shared" si="5"/>
        <v>7.9162418842315674E-5</v>
      </c>
      <c r="AF29" s="38">
        <f t="shared" si="6"/>
        <v>8.106231689453125E-2</v>
      </c>
      <c r="AG29" s="38">
        <f t="shared" si="7"/>
        <v>83.0078125</v>
      </c>
    </row>
    <row r="30" spans="2:33" ht="16" customHeight="1">
      <c r="N30" s="34" t="s">
        <v>29</v>
      </c>
      <c r="O30" s="39">
        <v>7</v>
      </c>
      <c r="P30" s="39">
        <v>8</v>
      </c>
      <c r="Q30" s="39">
        <v>9</v>
      </c>
      <c r="R30" s="39">
        <v>10</v>
      </c>
      <c r="S30" s="35">
        <v>1</v>
      </c>
      <c r="T30" s="35">
        <v>7</v>
      </c>
      <c r="V30" s="36">
        <v>18</v>
      </c>
      <c r="W30" s="35">
        <f t="shared" si="9"/>
        <v>324</v>
      </c>
      <c r="X30" s="37">
        <f t="shared" si="10"/>
        <v>153</v>
      </c>
      <c r="Y30" s="38">
        <f t="shared" si="0"/>
        <v>47.222222222222221</v>
      </c>
      <c r="Z30" s="38">
        <f t="shared" si="8"/>
        <v>171</v>
      </c>
      <c r="AA30" s="38">
        <f t="shared" si="2"/>
        <v>52.777777777777779</v>
      </c>
      <c r="AB30" s="38">
        <f t="shared" si="1"/>
        <v>12312</v>
      </c>
      <c r="AC30" s="38">
        <f t="shared" si="3"/>
        <v>1.1466443538665771E-5</v>
      </c>
      <c r="AD30" s="38">
        <f t="shared" si="4"/>
        <v>90000</v>
      </c>
      <c r="AE30" s="38">
        <f t="shared" si="5"/>
        <v>8.3819031715393066E-5</v>
      </c>
      <c r="AF30" s="38">
        <f t="shared" si="6"/>
        <v>8.58306884765625E-2</v>
      </c>
      <c r="AG30" s="38">
        <f t="shared" si="7"/>
        <v>87.890625</v>
      </c>
    </row>
    <row r="31" spans="2:33">
      <c r="C31" s="19" t="s">
        <v>13</v>
      </c>
      <c r="D31" s="19" t="s">
        <v>14</v>
      </c>
      <c r="E31" s="19" t="s">
        <v>55</v>
      </c>
      <c r="F31" s="19" t="s">
        <v>56</v>
      </c>
      <c r="G31" s="2" t="s">
        <v>16</v>
      </c>
      <c r="N31" s="34" t="s">
        <v>30</v>
      </c>
      <c r="O31" s="39">
        <v>7</v>
      </c>
      <c r="P31" s="39">
        <v>7</v>
      </c>
      <c r="Q31" s="39">
        <v>7</v>
      </c>
      <c r="R31" s="39">
        <v>7</v>
      </c>
      <c r="S31" s="39">
        <v>7</v>
      </c>
      <c r="T31" s="35">
        <v>1</v>
      </c>
      <c r="V31" s="36">
        <v>19</v>
      </c>
      <c r="W31" s="35">
        <f t="shared" si="9"/>
        <v>361</v>
      </c>
      <c r="X31" s="37">
        <f t="shared" si="10"/>
        <v>171</v>
      </c>
      <c r="Y31" s="38">
        <f t="shared" si="0"/>
        <v>47.368421052631582</v>
      </c>
      <c r="Z31" s="38">
        <f t="shared" si="8"/>
        <v>190</v>
      </c>
      <c r="AA31" s="38">
        <f t="shared" si="2"/>
        <v>52.631578947368418</v>
      </c>
      <c r="AB31" s="38">
        <f t="shared" si="1"/>
        <v>14440</v>
      </c>
      <c r="AC31" s="38">
        <f t="shared" si="3"/>
        <v>1.344829797744751E-5</v>
      </c>
      <c r="AD31" s="38">
        <f t="shared" si="4"/>
        <v>95000</v>
      </c>
      <c r="AE31" s="38">
        <f t="shared" si="5"/>
        <v>8.8475644588470459E-5</v>
      </c>
      <c r="AF31" s="38">
        <f t="shared" si="6"/>
        <v>9.059906005859375E-2</v>
      </c>
      <c r="AG31" s="38">
        <f t="shared" si="7"/>
        <v>92.7734375</v>
      </c>
    </row>
    <row r="32" spans="2:33">
      <c r="B32" s="2" t="s">
        <v>20</v>
      </c>
      <c r="C32" s="2">
        <v>-1</v>
      </c>
      <c r="D32" s="2">
        <v>1</v>
      </c>
      <c r="E32" s="2">
        <v>1</v>
      </c>
      <c r="F32" s="2">
        <v>1</v>
      </c>
      <c r="G32" s="2">
        <f>SQRT(C32*C32+D32*D32+E32*E32++F32*F32)</f>
        <v>2</v>
      </c>
      <c r="N32" s="34"/>
      <c r="O32" s="39"/>
      <c r="P32" s="39"/>
      <c r="Q32" s="39"/>
      <c r="R32" s="39"/>
      <c r="S32" s="39"/>
      <c r="T32" s="35"/>
      <c r="V32" s="36"/>
      <c r="W32" s="35"/>
      <c r="X32" s="37"/>
      <c r="Y32" s="38"/>
      <c r="Z32" s="38"/>
      <c r="AA32" s="38"/>
      <c r="AB32" s="38"/>
      <c r="AC32" s="38"/>
      <c r="AD32" s="38"/>
      <c r="AE32" s="38"/>
      <c r="AF32" s="38"/>
      <c r="AG32" s="38"/>
    </row>
    <row r="33" spans="2:33">
      <c r="B33" s="2" t="s">
        <v>21</v>
      </c>
      <c r="C33" s="2">
        <v>1</v>
      </c>
      <c r="D33" s="2">
        <v>1</v>
      </c>
      <c r="E33" s="2">
        <v>1</v>
      </c>
      <c r="F33" s="2">
        <v>1</v>
      </c>
      <c r="G33" s="2">
        <f>SQRT(C33*C33+D33*D33+E33*E33++F33*F33)</f>
        <v>2</v>
      </c>
      <c r="V33" s="36">
        <v>20</v>
      </c>
      <c r="W33" s="35">
        <f t="shared" ref="W33:W38" si="11">V33*V33</f>
        <v>400</v>
      </c>
      <c r="X33" s="37">
        <f t="shared" si="10"/>
        <v>190</v>
      </c>
      <c r="Y33" s="38">
        <f t="shared" ref="Y33:Y38" si="12">X33*100/W33</f>
        <v>47.5</v>
      </c>
      <c r="Z33" s="38">
        <f t="shared" si="8"/>
        <v>210</v>
      </c>
      <c r="AA33" s="38">
        <f t="shared" si="2"/>
        <v>52.5</v>
      </c>
      <c r="AB33" s="38">
        <f t="shared" si="1"/>
        <v>16800</v>
      </c>
      <c r="AC33" s="38">
        <f t="shared" si="3"/>
        <v>1.5646219253540039E-5</v>
      </c>
      <c r="AD33" s="38">
        <f t="shared" si="4"/>
        <v>100000</v>
      </c>
      <c r="AE33" s="38">
        <f t="shared" si="5"/>
        <v>9.3132257461547852E-5</v>
      </c>
      <c r="AF33" s="38">
        <f t="shared" si="6"/>
        <v>9.5367431640625E-2</v>
      </c>
      <c r="AG33" s="38">
        <f t="shared" si="7"/>
        <v>97.65625</v>
      </c>
    </row>
    <row r="34" spans="2:33">
      <c r="O34" s="31" t="s">
        <v>41</v>
      </c>
      <c r="V34" s="36">
        <v>21</v>
      </c>
      <c r="W34" s="35">
        <f t="shared" si="11"/>
        <v>441</v>
      </c>
      <c r="X34" s="37">
        <f t="shared" si="10"/>
        <v>210</v>
      </c>
      <c r="Y34" s="38">
        <f t="shared" si="12"/>
        <v>47.61904761904762</v>
      </c>
      <c r="Z34" s="38">
        <f t="shared" si="8"/>
        <v>231</v>
      </c>
      <c r="AA34" s="38">
        <f t="shared" si="2"/>
        <v>52.38095238095238</v>
      </c>
      <c r="AB34" s="38">
        <f t="shared" si="1"/>
        <v>19404</v>
      </c>
      <c r="AC34" s="38">
        <f t="shared" si="3"/>
        <v>1.8071383237838745E-5</v>
      </c>
      <c r="AD34" s="38">
        <f t="shared" si="4"/>
        <v>105000</v>
      </c>
      <c r="AE34" s="38">
        <f t="shared" si="5"/>
        <v>9.7788870334625244E-5</v>
      </c>
      <c r="AF34" s="38">
        <f t="shared" si="6"/>
        <v>0.10013580322265625</v>
      </c>
      <c r="AG34" s="38">
        <f t="shared" si="7"/>
        <v>102.5390625</v>
      </c>
    </row>
    <row r="35" spans="2:33" ht="23">
      <c r="B35" s="40" t="s">
        <v>12</v>
      </c>
      <c r="C35" s="40">
        <f>C32*C33+D32*D33+E32*E33+F32*F33</f>
        <v>2</v>
      </c>
      <c r="V35" s="36">
        <v>22</v>
      </c>
      <c r="W35" s="35">
        <f t="shared" si="11"/>
        <v>484</v>
      </c>
      <c r="X35" s="37">
        <f t="shared" si="10"/>
        <v>231</v>
      </c>
      <c r="Y35" s="38">
        <f t="shared" si="12"/>
        <v>47.727272727272727</v>
      </c>
      <c r="Z35" s="38">
        <f t="shared" si="8"/>
        <v>253</v>
      </c>
      <c r="AA35" s="38">
        <f t="shared" si="2"/>
        <v>52.272727272727273</v>
      </c>
      <c r="AB35" s="38">
        <f t="shared" si="1"/>
        <v>22264</v>
      </c>
      <c r="AC35" s="38">
        <f t="shared" si="3"/>
        <v>2.0734965801239014E-5</v>
      </c>
      <c r="AD35" s="38">
        <f t="shared" si="4"/>
        <v>110000</v>
      </c>
      <c r="AE35" s="38">
        <f t="shared" si="5"/>
        <v>1.0244548320770264E-4</v>
      </c>
      <c r="AF35" s="38">
        <f t="shared" si="6"/>
        <v>0.1049041748046875</v>
      </c>
      <c r="AG35" s="38">
        <f t="shared" si="7"/>
        <v>107.421875</v>
      </c>
    </row>
    <row r="36" spans="2:33" ht="23">
      <c r="B36" s="40" t="s">
        <v>15</v>
      </c>
      <c r="C36" s="40">
        <f>ROUND(C35/(G32*G33),4)</f>
        <v>0.5</v>
      </c>
      <c r="O36" s="19" t="s">
        <v>34</v>
      </c>
      <c r="P36" s="19" t="s">
        <v>38</v>
      </c>
      <c r="Q36" s="19" t="s">
        <v>35</v>
      </c>
      <c r="V36" s="36">
        <v>23</v>
      </c>
      <c r="W36" s="35">
        <f t="shared" si="11"/>
        <v>529</v>
      </c>
      <c r="X36" s="37">
        <f t="shared" si="10"/>
        <v>253</v>
      </c>
      <c r="Y36" s="38">
        <f t="shared" si="12"/>
        <v>47.826086956521742</v>
      </c>
      <c r="Z36" s="38">
        <f t="shared" si="8"/>
        <v>276</v>
      </c>
      <c r="AA36" s="38">
        <f t="shared" si="2"/>
        <v>52.173913043478258</v>
      </c>
      <c r="AB36" s="38">
        <f t="shared" si="1"/>
        <v>25392</v>
      </c>
      <c r="AC36" s="38">
        <f t="shared" si="3"/>
        <v>2.364814281463623E-5</v>
      </c>
      <c r="AD36" s="38">
        <f t="shared" si="4"/>
        <v>115000</v>
      </c>
      <c r="AE36" s="38">
        <f t="shared" si="5"/>
        <v>1.0710209608078003E-4</v>
      </c>
      <c r="AF36" s="38">
        <f t="shared" si="6"/>
        <v>0.10967254638671875</v>
      </c>
      <c r="AG36" s="38">
        <f t="shared" si="7"/>
        <v>112.3046875</v>
      </c>
    </row>
    <row r="37" spans="2:33" ht="23">
      <c r="B37" s="40" t="s">
        <v>57</v>
      </c>
      <c r="C37" s="40">
        <f>ACOS(C36)</f>
        <v>1.0471975511965976</v>
      </c>
      <c r="O37" s="19" t="s">
        <v>23</v>
      </c>
      <c r="P37" s="19">
        <v>1</v>
      </c>
      <c r="Q37" s="19">
        <v>1</v>
      </c>
      <c r="V37" s="36">
        <v>24</v>
      </c>
      <c r="W37" s="35">
        <f t="shared" si="11"/>
        <v>576</v>
      </c>
      <c r="X37" s="37">
        <f t="shared" si="10"/>
        <v>276</v>
      </c>
      <c r="Y37" s="38">
        <f t="shared" si="12"/>
        <v>47.916666666666664</v>
      </c>
      <c r="Z37" s="38">
        <f t="shared" si="8"/>
        <v>300</v>
      </c>
      <c r="AA37" s="38">
        <f t="shared" si="2"/>
        <v>52.083333333333336</v>
      </c>
      <c r="AB37" s="38">
        <f t="shared" si="1"/>
        <v>28800</v>
      </c>
      <c r="AC37" s="38">
        <f t="shared" si="3"/>
        <v>2.6822090148925781E-5</v>
      </c>
      <c r="AD37" s="38">
        <f t="shared" si="4"/>
        <v>120000</v>
      </c>
      <c r="AE37" s="38">
        <f t="shared" si="5"/>
        <v>1.1175870895385742E-4</v>
      </c>
      <c r="AF37" s="38">
        <f t="shared" si="6"/>
        <v>0.11444091796875</v>
      </c>
      <c r="AG37" s="38">
        <f t="shared" si="7"/>
        <v>117.1875</v>
      </c>
    </row>
    <row r="38" spans="2:33" ht="23">
      <c r="B38" s="40" t="s">
        <v>19</v>
      </c>
      <c r="C38" s="40">
        <f>ROUND(C37/PI(),4)</f>
        <v>0.33329999999999999</v>
      </c>
      <c r="O38" s="19" t="s">
        <v>24</v>
      </c>
      <c r="P38" s="19">
        <v>1</v>
      </c>
      <c r="Q38" s="19">
        <v>1</v>
      </c>
      <c r="V38" s="36">
        <v>25</v>
      </c>
      <c r="W38" s="35">
        <f t="shared" si="11"/>
        <v>625</v>
      </c>
      <c r="X38" s="37">
        <f t="shared" si="10"/>
        <v>300</v>
      </c>
      <c r="Y38" s="38">
        <f t="shared" si="12"/>
        <v>48</v>
      </c>
      <c r="Z38" s="38">
        <f t="shared" si="8"/>
        <v>325</v>
      </c>
      <c r="AA38" s="38">
        <f t="shared" si="2"/>
        <v>52</v>
      </c>
      <c r="AB38" s="38">
        <f t="shared" si="1"/>
        <v>32500</v>
      </c>
      <c r="AC38" s="38">
        <f t="shared" si="3"/>
        <v>3.0267983675003052E-5</v>
      </c>
      <c r="AD38" s="38">
        <f t="shared" si="4"/>
        <v>125000</v>
      </c>
      <c r="AE38" s="38">
        <f t="shared" si="5"/>
        <v>1.1641532182693481E-4</v>
      </c>
      <c r="AF38" s="38">
        <f t="shared" si="6"/>
        <v>0.11920928955078125</v>
      </c>
      <c r="AG38" s="38">
        <f t="shared" si="7"/>
        <v>122.0703125</v>
      </c>
    </row>
    <row r="39" spans="2:33" ht="23">
      <c r="B39" s="40" t="s">
        <v>17</v>
      </c>
      <c r="C39" s="40">
        <f>ROUND(DEGREES(C37),0)</f>
        <v>60</v>
      </c>
      <c r="O39" s="19" t="s">
        <v>24</v>
      </c>
      <c r="P39" s="19">
        <v>2</v>
      </c>
      <c r="Q39" s="19">
        <v>1</v>
      </c>
      <c r="U39" s="34" t="s">
        <v>43</v>
      </c>
      <c r="V39" s="36" t="s">
        <v>32</v>
      </c>
      <c r="W39" s="35" t="s">
        <v>32</v>
      </c>
      <c r="X39" s="37" t="s">
        <v>32</v>
      </c>
      <c r="Y39" s="38" t="s">
        <v>32</v>
      </c>
      <c r="Z39" s="38" t="s">
        <v>32</v>
      </c>
      <c r="AA39" s="38" t="s">
        <v>32</v>
      </c>
      <c r="AB39" s="38" t="s">
        <v>32</v>
      </c>
      <c r="AC39" s="38" t="s">
        <v>32</v>
      </c>
      <c r="AD39" s="38" t="s">
        <v>32</v>
      </c>
      <c r="AE39" s="38" t="s">
        <v>32</v>
      </c>
      <c r="AF39" s="38" t="s">
        <v>32</v>
      </c>
      <c r="AG39" s="38" t="s">
        <v>32</v>
      </c>
    </row>
    <row r="40" spans="2:33" ht="24" thickBot="1">
      <c r="B40" s="41" t="s">
        <v>18</v>
      </c>
      <c r="C40" s="41">
        <f>1-ROUND(C38,4)</f>
        <v>0.66670000000000007</v>
      </c>
      <c r="O40" s="19" t="s">
        <v>25</v>
      </c>
      <c r="P40" s="19">
        <v>1</v>
      </c>
      <c r="Q40" s="19">
        <v>3</v>
      </c>
      <c r="U40" s="34" t="s">
        <v>42</v>
      </c>
      <c r="V40" s="36">
        <v>74550</v>
      </c>
      <c r="W40" s="35">
        <f>V40*V40</f>
        <v>5557702500</v>
      </c>
      <c r="X40" s="37">
        <f t="shared" si="10"/>
        <v>2778813975</v>
      </c>
      <c r="Y40" s="38">
        <f>X40*100/W40</f>
        <v>49.999329309188461</v>
      </c>
      <c r="Z40" s="38">
        <f t="shared" si="8"/>
        <v>2778888525</v>
      </c>
      <c r="AA40" s="38">
        <f t="shared" si="2"/>
        <v>50.000670690811539</v>
      </c>
      <c r="AB40" s="38">
        <f t="shared" si="1"/>
        <v>828664558155000</v>
      </c>
      <c r="AC40" s="38">
        <f t="shared" si="3"/>
        <v>771754.00979351252</v>
      </c>
      <c r="AD40" s="38">
        <f t="shared" si="4"/>
        <v>372750000</v>
      </c>
      <c r="AE40" s="38">
        <f t="shared" si="5"/>
        <v>0.34715048968791962</v>
      </c>
      <c r="AF40" s="38">
        <f t="shared" si="6"/>
        <v>355.48210144042969</v>
      </c>
      <c r="AG40" s="38">
        <f t="shared" si="7"/>
        <v>364013.671875</v>
      </c>
    </row>
    <row r="41" spans="2:33" ht="17" thickBot="1">
      <c r="O41" s="19" t="s">
        <v>25</v>
      </c>
      <c r="P41" s="19">
        <v>2</v>
      </c>
      <c r="Q41" s="19">
        <v>2</v>
      </c>
      <c r="U41" s="42">
        <v>5000</v>
      </c>
      <c r="V41" s="43">
        <v>5000</v>
      </c>
      <c r="W41" s="44">
        <f>V41*V41</f>
        <v>25000000</v>
      </c>
      <c r="X41" s="45">
        <f t="shared" si="10"/>
        <v>12497500</v>
      </c>
      <c r="Y41" s="46">
        <f>X41*100/W41</f>
        <v>49.99</v>
      </c>
      <c r="Z41" s="46">
        <f t="shared" si="8"/>
        <v>12502500</v>
      </c>
      <c r="AA41" s="46">
        <f t="shared" si="2"/>
        <v>50.01</v>
      </c>
      <c r="AB41" s="46">
        <f t="shared" si="1"/>
        <v>250050000000</v>
      </c>
      <c r="AC41" s="46">
        <f t="shared" si="3"/>
        <v>232.8772097826004</v>
      </c>
      <c r="AD41" s="47">
        <f t="shared" si="4"/>
        <v>25000000</v>
      </c>
      <c r="AE41" s="48">
        <f t="shared" si="5"/>
        <v>2.3283064365386963E-2</v>
      </c>
      <c r="AF41" s="48">
        <f t="shared" si="6"/>
        <v>23.84185791015625</v>
      </c>
      <c r="AG41" s="49">
        <f t="shared" si="7"/>
        <v>24414.0625</v>
      </c>
    </row>
    <row r="42" spans="2:33">
      <c r="O42" s="19" t="s">
        <v>25</v>
      </c>
      <c r="P42" s="19">
        <v>3</v>
      </c>
      <c r="Q42" s="19">
        <v>1</v>
      </c>
      <c r="U42" s="2">
        <v>1000</v>
      </c>
      <c r="V42" s="36">
        <v>1000</v>
      </c>
      <c r="W42" s="35">
        <f>V42*V42</f>
        <v>1000000</v>
      </c>
      <c r="X42" s="37">
        <f t="shared" si="10"/>
        <v>499500</v>
      </c>
      <c r="Y42" s="38">
        <f>X42*100/W42</f>
        <v>49.95</v>
      </c>
      <c r="Z42" s="38">
        <f t="shared" si="8"/>
        <v>500500</v>
      </c>
      <c r="AA42" s="38">
        <f t="shared" si="2"/>
        <v>50.05</v>
      </c>
      <c r="AB42" s="38">
        <f t="shared" si="1"/>
        <v>2002000000</v>
      </c>
      <c r="AC42" s="38">
        <f t="shared" si="3"/>
        <v>1.864507794380188</v>
      </c>
      <c r="AD42" s="38">
        <f t="shared" si="4"/>
        <v>5000000</v>
      </c>
      <c r="AE42" s="38">
        <f t="shared" si="5"/>
        <v>4.6566128730773926E-3</v>
      </c>
      <c r="AF42" s="38">
        <f t="shared" si="6"/>
        <v>4.76837158203125</v>
      </c>
      <c r="AG42" s="38">
        <f t="shared" si="7"/>
        <v>4882.8125</v>
      </c>
    </row>
    <row r="43" spans="2:33">
      <c r="O43" s="19" t="s">
        <v>27</v>
      </c>
      <c r="P43" s="19">
        <v>1</v>
      </c>
      <c r="Q43" s="19">
        <v>4</v>
      </c>
    </row>
    <row r="44" spans="2:33" ht="26">
      <c r="B44" s="1" t="s">
        <v>109</v>
      </c>
      <c r="C44" s="3"/>
      <c r="D44" s="3"/>
      <c r="E44" s="3"/>
      <c r="F44" s="3"/>
      <c r="G44" s="3"/>
      <c r="H44" s="3"/>
      <c r="I44" s="3"/>
      <c r="O44" s="19" t="s">
        <v>27</v>
      </c>
      <c r="P44" s="19">
        <v>2</v>
      </c>
      <c r="Q44" s="19">
        <v>5</v>
      </c>
    </row>
    <row r="45" spans="2:33">
      <c r="B45" s="3"/>
      <c r="C45" s="3"/>
      <c r="D45" s="3"/>
      <c r="E45" s="3"/>
      <c r="F45" s="3"/>
      <c r="G45" s="3"/>
      <c r="H45" s="3"/>
      <c r="I45" s="3"/>
      <c r="O45" s="19" t="s">
        <v>27</v>
      </c>
      <c r="P45" s="19">
        <v>3</v>
      </c>
      <c r="Q45" s="19">
        <v>6</v>
      </c>
    </row>
    <row r="46" spans="2:33">
      <c r="B46" s="4" t="s">
        <v>93</v>
      </c>
      <c r="C46" s="4"/>
      <c r="D46" s="4"/>
      <c r="E46" s="4" t="s">
        <v>94</v>
      </c>
      <c r="F46" s="4"/>
      <c r="G46" s="4"/>
      <c r="H46" s="4" t="s">
        <v>95</v>
      </c>
      <c r="I46" s="3"/>
      <c r="O46" s="19" t="s">
        <v>27</v>
      </c>
      <c r="P46" s="19">
        <v>4</v>
      </c>
      <c r="Q46" s="19">
        <v>1</v>
      </c>
    </row>
    <row r="47" spans="2:33">
      <c r="B47" s="3" t="s">
        <v>66</v>
      </c>
      <c r="C47" s="50" t="s">
        <v>97</v>
      </c>
      <c r="D47" s="3"/>
      <c r="E47" s="3" t="s">
        <v>66</v>
      </c>
      <c r="F47" s="50" t="s">
        <v>98</v>
      </c>
      <c r="G47" s="3"/>
      <c r="H47" s="3" t="s">
        <v>66</v>
      </c>
      <c r="I47" s="50" t="s">
        <v>99</v>
      </c>
      <c r="O47" s="19" t="s">
        <v>29</v>
      </c>
      <c r="P47" s="19">
        <v>1</v>
      </c>
      <c r="Q47" s="19">
        <v>7</v>
      </c>
    </row>
    <row r="48" spans="2:33">
      <c r="B48" s="3" t="s">
        <v>60</v>
      </c>
      <c r="C48" s="50" t="s">
        <v>88</v>
      </c>
      <c r="D48" s="3"/>
      <c r="E48" s="3" t="s">
        <v>60</v>
      </c>
      <c r="F48" s="50" t="s">
        <v>4</v>
      </c>
      <c r="G48" s="3"/>
      <c r="H48" s="3" t="s">
        <v>60</v>
      </c>
      <c r="I48" s="50" t="s">
        <v>90</v>
      </c>
      <c r="O48" s="19" t="s">
        <v>29</v>
      </c>
      <c r="P48" s="19">
        <v>2</v>
      </c>
      <c r="Q48" s="19">
        <v>8</v>
      </c>
    </row>
    <row r="49" spans="2:17">
      <c r="B49" s="3" t="s">
        <v>62</v>
      </c>
      <c r="C49" s="50" t="s">
        <v>23</v>
      </c>
      <c r="D49" s="3"/>
      <c r="E49" s="3" t="s">
        <v>62</v>
      </c>
      <c r="F49" s="50" t="s">
        <v>24</v>
      </c>
      <c r="G49" s="3"/>
      <c r="H49" s="3" t="s">
        <v>62</v>
      </c>
      <c r="I49" s="50" t="s">
        <v>25</v>
      </c>
      <c r="O49" s="19" t="s">
        <v>29</v>
      </c>
      <c r="P49" s="19">
        <v>3</v>
      </c>
      <c r="Q49" s="19">
        <v>9</v>
      </c>
    </row>
    <row r="50" spans="2:17">
      <c r="B50" s="3"/>
      <c r="C50" s="3"/>
      <c r="D50" s="3"/>
      <c r="E50" s="3"/>
      <c r="F50" s="3"/>
      <c r="G50" s="3"/>
      <c r="H50" s="3"/>
      <c r="I50" s="3"/>
      <c r="O50" s="19" t="s">
        <v>29</v>
      </c>
      <c r="P50" s="19">
        <v>4</v>
      </c>
      <c r="Q50" s="19">
        <v>10</v>
      </c>
    </row>
    <row r="51" spans="2:17">
      <c r="B51" s="4" t="s">
        <v>92</v>
      </c>
      <c r="C51" s="3"/>
      <c r="D51" s="3"/>
      <c r="E51" s="3"/>
      <c r="F51" s="4" t="s">
        <v>106</v>
      </c>
      <c r="G51" s="3"/>
      <c r="H51" s="3"/>
      <c r="I51" s="3"/>
      <c r="O51" s="19" t="s">
        <v>29</v>
      </c>
      <c r="P51" s="19">
        <v>5</v>
      </c>
      <c r="Q51" s="19">
        <v>1</v>
      </c>
    </row>
    <row r="52" spans="2:17">
      <c r="B52" s="3" t="s">
        <v>66</v>
      </c>
      <c r="C52" s="50" t="s">
        <v>100</v>
      </c>
      <c r="D52" s="3"/>
      <c r="E52" s="3"/>
      <c r="F52" s="3"/>
      <c r="G52" s="3"/>
      <c r="H52" s="3"/>
      <c r="I52" s="3"/>
      <c r="O52" s="19" t="s">
        <v>30</v>
      </c>
      <c r="P52" s="19">
        <v>1</v>
      </c>
      <c r="Q52" s="19">
        <v>7</v>
      </c>
    </row>
    <row r="53" spans="2:17">
      <c r="B53" s="3" t="s">
        <v>60</v>
      </c>
      <c r="C53" s="50" t="s">
        <v>103</v>
      </c>
      <c r="D53" s="3"/>
      <c r="E53" s="3"/>
      <c r="F53" s="3"/>
      <c r="G53" s="3"/>
      <c r="H53" s="3"/>
      <c r="I53" s="3"/>
      <c r="O53" s="19" t="s">
        <v>30</v>
      </c>
      <c r="P53" s="19">
        <v>2</v>
      </c>
      <c r="Q53" s="19">
        <v>7</v>
      </c>
    </row>
    <row r="54" spans="2:17">
      <c r="B54" s="3" t="s">
        <v>82</v>
      </c>
      <c r="C54" s="50" t="s">
        <v>98</v>
      </c>
      <c r="D54" s="3"/>
      <c r="E54" s="3"/>
      <c r="F54" s="3" t="s">
        <v>105</v>
      </c>
      <c r="G54" s="3"/>
      <c r="H54" s="3"/>
      <c r="I54" s="3"/>
      <c r="O54" s="19" t="s">
        <v>30</v>
      </c>
      <c r="P54" s="19">
        <v>3</v>
      </c>
      <c r="Q54" s="19">
        <v>7</v>
      </c>
    </row>
    <row r="55" spans="2:17">
      <c r="B55" s="3" t="s">
        <v>64</v>
      </c>
      <c r="C55" s="3">
        <v>-1</v>
      </c>
      <c r="D55" s="3"/>
      <c r="E55" s="3"/>
      <c r="F55" s="3"/>
      <c r="G55" s="3"/>
      <c r="H55" s="3"/>
      <c r="I55" s="3"/>
      <c r="O55" s="19" t="s">
        <v>30</v>
      </c>
      <c r="P55" s="19">
        <v>4</v>
      </c>
      <c r="Q55" s="19">
        <v>7</v>
      </c>
    </row>
    <row r="56" spans="2:17">
      <c r="B56" s="3"/>
      <c r="C56" s="3"/>
      <c r="D56" s="3"/>
      <c r="E56" s="3"/>
      <c r="F56" s="3"/>
      <c r="G56" s="3"/>
      <c r="H56" s="3"/>
      <c r="I56" s="3"/>
      <c r="O56" s="19" t="s">
        <v>30</v>
      </c>
      <c r="P56" s="19">
        <v>5</v>
      </c>
      <c r="Q56" s="19">
        <v>7</v>
      </c>
    </row>
    <row r="57" spans="2:17">
      <c r="B57" s="3"/>
      <c r="C57" s="51" t="s">
        <v>91</v>
      </c>
      <c r="D57" s="3"/>
      <c r="E57" s="3"/>
      <c r="F57" s="3"/>
      <c r="G57" s="3"/>
      <c r="H57" s="3"/>
      <c r="I57" s="3"/>
      <c r="O57" s="19" t="s">
        <v>30</v>
      </c>
      <c r="P57" s="19">
        <v>6</v>
      </c>
      <c r="Q57" s="19">
        <v>1</v>
      </c>
    </row>
    <row r="58" spans="2:17">
      <c r="B58" s="4" t="s">
        <v>96</v>
      </c>
      <c r="C58" s="3"/>
      <c r="D58" s="3"/>
      <c r="E58" s="3"/>
      <c r="F58" s="3"/>
      <c r="G58" s="3"/>
      <c r="H58" s="3"/>
      <c r="I58" s="3"/>
    </row>
    <row r="59" spans="2:17">
      <c r="B59" s="3" t="s">
        <v>66</v>
      </c>
      <c r="C59" s="3"/>
      <c r="D59" s="3" t="s">
        <v>102</v>
      </c>
      <c r="E59" s="3"/>
      <c r="F59" s="3"/>
      <c r="G59" s="3"/>
      <c r="H59" s="3"/>
      <c r="I59" s="3"/>
    </row>
    <row r="60" spans="2:17">
      <c r="B60" s="3" t="s">
        <v>84</v>
      </c>
      <c r="C60" s="3"/>
      <c r="D60" s="3" t="s">
        <v>101</v>
      </c>
      <c r="E60" s="3"/>
      <c r="F60" s="3"/>
      <c r="G60" s="3"/>
      <c r="H60" s="3"/>
      <c r="I60" s="3"/>
      <c r="O60" s="52" t="s">
        <v>44</v>
      </c>
    </row>
    <row r="61" spans="2:17">
      <c r="B61" s="3" t="s">
        <v>62</v>
      </c>
      <c r="C61" s="3"/>
      <c r="D61" s="3" t="s">
        <v>89</v>
      </c>
      <c r="E61" s="50"/>
      <c r="F61" s="3" t="s">
        <v>25</v>
      </c>
      <c r="G61" s="3"/>
      <c r="H61" s="3"/>
      <c r="I61" s="3"/>
      <c r="O61" s="19" t="s">
        <v>34</v>
      </c>
      <c r="P61" s="2" t="s">
        <v>8</v>
      </c>
    </row>
    <row r="62" spans="2:17">
      <c r="B62" s="3" t="s">
        <v>64</v>
      </c>
      <c r="C62" s="3"/>
      <c r="D62" s="3" t="s">
        <v>104</v>
      </c>
      <c r="E62" s="3"/>
      <c r="F62" s="14">
        <v>1</v>
      </c>
      <c r="G62" s="3"/>
      <c r="H62" s="3"/>
      <c r="I62" s="3"/>
      <c r="O62" s="2">
        <v>1</v>
      </c>
      <c r="P62" s="2">
        <v>5000</v>
      </c>
    </row>
    <row r="63" spans="2:17">
      <c r="B63" s="3"/>
      <c r="C63" s="3"/>
      <c r="D63" s="3"/>
      <c r="E63" s="3"/>
      <c r="F63" s="3"/>
      <c r="G63" s="3"/>
      <c r="H63" s="3"/>
      <c r="I63" s="3"/>
    </row>
    <row r="64" spans="2:17">
      <c r="B64" s="3"/>
      <c r="C64" s="51" t="s">
        <v>91</v>
      </c>
      <c r="D64" s="50"/>
      <c r="E64" s="50"/>
      <c r="F64" s="3"/>
      <c r="G64" s="3"/>
      <c r="H64" s="3"/>
      <c r="I64" s="3"/>
    </row>
    <row r="65" spans="2:9">
      <c r="B65" s="3"/>
      <c r="C65" s="3"/>
      <c r="D65" s="3"/>
      <c r="E65" s="3"/>
      <c r="F65" s="3"/>
      <c r="G65" s="3"/>
      <c r="H65" s="3"/>
      <c r="I65" s="3"/>
    </row>
    <row r="66" spans="2:9">
      <c r="B66" s="3" t="s">
        <v>62</v>
      </c>
      <c r="C66" s="3"/>
      <c r="D66" s="3"/>
      <c r="E66" s="3"/>
      <c r="F66" s="3" t="s">
        <v>105</v>
      </c>
      <c r="G66" s="3"/>
    </row>
  </sheetData>
  <mergeCells count="4">
    <mergeCell ref="B2:E6"/>
    <mergeCell ref="O6:R10"/>
    <mergeCell ref="C8:G8"/>
    <mergeCell ref="B25:E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EAE95-A08D-154D-B083-64363DA48571}">
  <dimension ref="A2:O61"/>
  <sheetViews>
    <sheetView zoomScale="119" workbookViewId="0">
      <selection activeCell="K24" sqref="K24"/>
    </sheetView>
  </sheetViews>
  <sheetFormatPr baseColWidth="10" defaultRowHeight="16"/>
  <cols>
    <col min="1" max="1" width="4.1640625" style="3" customWidth="1"/>
    <col min="2" max="2" width="4.33203125" style="3" customWidth="1"/>
    <col min="3" max="4" width="18.6640625" style="3" customWidth="1"/>
    <col min="5" max="8" width="19.33203125" style="3" customWidth="1"/>
    <col min="9" max="9" width="24.5" style="3" customWidth="1"/>
    <col min="10" max="10" width="18.6640625" style="3" customWidth="1"/>
    <col min="11" max="13" width="24.6640625" style="3" customWidth="1"/>
    <col min="14" max="14" width="14" style="3" bestFit="1" customWidth="1"/>
    <col min="15" max="16384" width="10.83203125" style="3"/>
  </cols>
  <sheetData>
    <row r="2" spans="2:14" ht="26">
      <c r="B2" s="1" t="s">
        <v>333</v>
      </c>
    </row>
    <row r="4" spans="2:14">
      <c r="C4" s="4" t="s">
        <v>380</v>
      </c>
    </row>
    <row r="5" spans="2:14">
      <c r="B5" s="3" t="s">
        <v>393</v>
      </c>
      <c r="C5" s="3" t="s">
        <v>334</v>
      </c>
    </row>
    <row r="6" spans="2:14">
      <c r="B6" s="3" t="s">
        <v>394</v>
      </c>
      <c r="C6" s="3" t="s">
        <v>349</v>
      </c>
    </row>
    <row r="8" spans="2:14">
      <c r="C8" s="4" t="s">
        <v>381</v>
      </c>
    </row>
    <row r="10" spans="2:14">
      <c r="C10" s="4" t="s">
        <v>382</v>
      </c>
    </row>
    <row r="11" spans="2:14">
      <c r="C11" s="4"/>
    </row>
    <row r="12" spans="2:14">
      <c r="C12" s="4" t="s">
        <v>384</v>
      </c>
    </row>
    <row r="13" spans="2:14">
      <c r="C13" s="4"/>
    </row>
    <row r="14" spans="2:14">
      <c r="C14" s="4"/>
    </row>
    <row r="16" spans="2:14">
      <c r="B16" s="4" t="s">
        <v>376</v>
      </c>
      <c r="J16" s="4" t="s">
        <v>377</v>
      </c>
      <c r="K16" s="3" t="s">
        <v>411</v>
      </c>
      <c r="L16" s="15" t="s">
        <v>135</v>
      </c>
      <c r="M16" s="3" t="s">
        <v>412</v>
      </c>
      <c r="N16" s="4"/>
    </row>
    <row r="18" spans="1:15" ht="17">
      <c r="A18" s="6"/>
      <c r="B18" s="6"/>
      <c r="C18" s="58" t="s">
        <v>306</v>
      </c>
      <c r="D18" s="58" t="s">
        <v>367</v>
      </c>
      <c r="E18" s="58" t="s">
        <v>368</v>
      </c>
      <c r="F18" s="58" t="s">
        <v>369</v>
      </c>
      <c r="G18" s="58" t="s">
        <v>309</v>
      </c>
      <c r="H18" s="58" t="s">
        <v>370</v>
      </c>
      <c r="I18" s="58" t="s">
        <v>371</v>
      </c>
      <c r="J18" s="58"/>
      <c r="K18" s="6"/>
      <c r="L18" s="6"/>
      <c r="M18" s="6"/>
    </row>
    <row r="19" spans="1:15" ht="39" customHeight="1">
      <c r="A19" s="92">
        <v>2</v>
      </c>
      <c r="B19" s="6" t="s">
        <v>97</v>
      </c>
      <c r="C19" s="6" t="s">
        <v>315</v>
      </c>
      <c r="D19" s="6" t="s">
        <v>378</v>
      </c>
      <c r="E19" s="6" t="s">
        <v>317</v>
      </c>
      <c r="F19" s="6" t="s">
        <v>123</v>
      </c>
      <c r="G19" s="6" t="s">
        <v>123</v>
      </c>
      <c r="H19" s="6" t="s">
        <v>373</v>
      </c>
      <c r="I19" s="6" t="s">
        <v>372</v>
      </c>
      <c r="J19" s="56" t="s">
        <v>395</v>
      </c>
      <c r="K19" s="59" t="s">
        <v>426</v>
      </c>
      <c r="L19" s="60" t="s">
        <v>110</v>
      </c>
      <c r="M19" s="59" t="s">
        <v>427</v>
      </c>
      <c r="O19" s="3" t="s">
        <v>428</v>
      </c>
    </row>
    <row r="20" spans="1:15" ht="39" customHeight="1">
      <c r="A20" s="92"/>
      <c r="B20" s="6" t="s">
        <v>98</v>
      </c>
      <c r="C20" s="6" t="s">
        <v>305</v>
      </c>
      <c r="D20" s="6" t="s">
        <v>378</v>
      </c>
      <c r="E20" s="6" t="s">
        <v>315</v>
      </c>
      <c r="F20" s="6"/>
      <c r="G20" s="6"/>
      <c r="H20" s="6" t="s">
        <v>374</v>
      </c>
      <c r="I20" s="6" t="s">
        <v>375</v>
      </c>
      <c r="J20" s="56" t="s">
        <v>404</v>
      </c>
      <c r="K20" s="59" t="s">
        <v>417</v>
      </c>
      <c r="L20" s="60" t="s">
        <v>110</v>
      </c>
      <c r="M20" s="59" t="s">
        <v>100</v>
      </c>
    </row>
    <row r="21" spans="1:15" ht="102">
      <c r="A21" s="6"/>
      <c r="B21" s="6"/>
      <c r="C21" s="6"/>
      <c r="D21" s="6"/>
      <c r="E21" s="6"/>
      <c r="F21" s="6"/>
      <c r="G21" s="6"/>
      <c r="H21" s="6"/>
      <c r="I21" s="6"/>
      <c r="K21" s="6" t="s">
        <v>429</v>
      </c>
      <c r="L21" s="54" t="s">
        <v>110</v>
      </c>
      <c r="M21" s="3" t="s">
        <v>430</v>
      </c>
      <c r="O21" s="3" t="s">
        <v>438</v>
      </c>
    </row>
    <row r="22" spans="1:15" ht="39" customHeight="1">
      <c r="A22" s="6"/>
      <c r="B22" s="6" t="s">
        <v>97</v>
      </c>
      <c r="C22" s="6" t="s">
        <v>405</v>
      </c>
      <c r="D22" s="6" t="s">
        <v>322</v>
      </c>
      <c r="E22" s="6" t="s">
        <v>123</v>
      </c>
      <c r="F22" s="6" t="s">
        <v>407</v>
      </c>
      <c r="G22" s="6"/>
      <c r="H22" s="6"/>
      <c r="I22" s="6" t="s">
        <v>406</v>
      </c>
    </row>
    <row r="23" spans="1:15" ht="39" customHeight="1">
      <c r="A23" s="6"/>
      <c r="B23" s="6" t="s">
        <v>98</v>
      </c>
      <c r="C23" s="6" t="s">
        <v>405</v>
      </c>
      <c r="D23" s="6" t="s">
        <v>322</v>
      </c>
      <c r="E23" s="6" t="s">
        <v>123</v>
      </c>
      <c r="F23" s="6" t="s">
        <v>408</v>
      </c>
      <c r="G23" s="6"/>
      <c r="H23" s="6" t="s">
        <v>373</v>
      </c>
      <c r="I23" s="6" t="s">
        <v>406</v>
      </c>
    </row>
    <row r="24" spans="1:15" ht="39" customHeight="1">
      <c r="A24" s="6"/>
      <c r="B24" s="6" t="s">
        <v>99</v>
      </c>
      <c r="C24" s="6" t="s">
        <v>409</v>
      </c>
      <c r="D24" s="6" t="s">
        <v>432</v>
      </c>
      <c r="E24" s="6" t="s">
        <v>405</v>
      </c>
      <c r="F24" s="6"/>
      <c r="G24" s="6"/>
      <c r="H24" s="6" t="s">
        <v>437</v>
      </c>
      <c r="I24" s="6" t="s">
        <v>410</v>
      </c>
      <c r="K24"/>
    </row>
    <row r="25" spans="1:15" ht="39" customHeight="1">
      <c r="A25" s="6"/>
      <c r="B25" s="6" t="s">
        <v>100</v>
      </c>
      <c r="C25" s="6" t="s">
        <v>1</v>
      </c>
      <c r="D25" s="6" t="s">
        <v>431</v>
      </c>
      <c r="E25" s="6" t="s">
        <v>405</v>
      </c>
      <c r="F25" s="6"/>
      <c r="G25" s="6"/>
      <c r="H25" s="6" t="s">
        <v>373</v>
      </c>
      <c r="I25" s="6" t="s">
        <v>433</v>
      </c>
      <c r="K25"/>
    </row>
    <row r="26" spans="1:15" ht="51" customHeight="1">
      <c r="A26" s="6"/>
      <c r="B26" s="6" t="s">
        <v>102</v>
      </c>
      <c r="C26" s="6" t="s">
        <v>413</v>
      </c>
      <c r="D26" s="6" t="s">
        <v>434</v>
      </c>
      <c r="E26" s="6" t="s">
        <v>435</v>
      </c>
      <c r="F26" s="6"/>
      <c r="G26" s="6"/>
      <c r="H26" s="6" t="s">
        <v>436</v>
      </c>
      <c r="I26" s="6" t="s">
        <v>416</v>
      </c>
    </row>
    <row r="27" spans="1:15" ht="39" customHeight="1">
      <c r="A27" s="6"/>
      <c r="B27" s="6" t="s">
        <v>435</v>
      </c>
      <c r="C27" s="6" t="s">
        <v>413</v>
      </c>
      <c r="D27" s="6" t="s">
        <v>414</v>
      </c>
      <c r="E27" s="6" t="s">
        <v>405</v>
      </c>
      <c r="F27" s="6"/>
      <c r="G27" s="6"/>
      <c r="H27" s="6" t="s">
        <v>415</v>
      </c>
      <c r="I27" s="6" t="s">
        <v>416</v>
      </c>
    </row>
    <row r="28" spans="1:15" ht="39" customHeight="1">
      <c r="A28" s="6"/>
      <c r="B28" s="6"/>
      <c r="C28" s="6"/>
      <c r="D28" s="6"/>
      <c r="E28" s="6"/>
      <c r="F28" s="6"/>
      <c r="G28" s="6"/>
      <c r="H28" s="6"/>
      <c r="I28" s="6"/>
    </row>
    <row r="29" spans="1:15" ht="39" customHeight="1">
      <c r="A29" s="6"/>
      <c r="B29" s="6"/>
      <c r="C29" s="6"/>
      <c r="D29" s="6"/>
      <c r="E29" s="6"/>
      <c r="F29" s="6"/>
      <c r="G29" s="6"/>
      <c r="H29" s="6"/>
      <c r="I29" s="93" t="s">
        <v>418</v>
      </c>
      <c r="J29" s="93"/>
      <c r="K29" s="93"/>
      <c r="L29" s="93"/>
    </row>
    <row r="30" spans="1:15" ht="39" customHeight="1">
      <c r="A30" s="6"/>
      <c r="B30" s="6"/>
      <c r="C30" s="6"/>
      <c r="D30" s="6"/>
      <c r="E30" s="6"/>
      <c r="F30" s="6"/>
      <c r="G30" s="6"/>
      <c r="H30" s="6"/>
      <c r="I30" s="6"/>
    </row>
    <row r="31" spans="1:15" ht="39" customHeight="1">
      <c r="A31" s="6"/>
      <c r="B31" s="6"/>
      <c r="C31" s="6"/>
      <c r="D31" s="6"/>
      <c r="E31" s="6"/>
      <c r="F31" s="6"/>
      <c r="G31" s="6"/>
      <c r="H31" s="6"/>
      <c r="I31" s="57" t="s">
        <v>379</v>
      </c>
      <c r="J31" s="61">
        <v>0.9</v>
      </c>
      <c r="K31" s="61">
        <v>0.5</v>
      </c>
      <c r="L31" s="61">
        <v>0.95</v>
      </c>
    </row>
    <row r="32" spans="1:15" ht="39" customHeight="1">
      <c r="A32" s="6"/>
      <c r="B32" s="6"/>
      <c r="C32" s="6"/>
      <c r="D32" s="6"/>
      <c r="E32" s="6"/>
      <c r="F32" s="6"/>
      <c r="G32" s="6"/>
      <c r="H32" s="6"/>
      <c r="I32" s="57" t="s">
        <v>383</v>
      </c>
      <c r="J32" s="55" t="s">
        <v>385</v>
      </c>
      <c r="K32" s="55" t="s">
        <v>386</v>
      </c>
      <c r="L32" s="55" t="s">
        <v>385</v>
      </c>
    </row>
    <row r="33" spans="1:14" ht="39" customHeight="1">
      <c r="A33" s="6"/>
      <c r="B33" s="6"/>
      <c r="C33" s="6"/>
      <c r="D33" s="6"/>
      <c r="E33" s="6"/>
      <c r="F33" s="6"/>
      <c r="G33" s="6"/>
      <c r="H33" s="6"/>
      <c r="I33" s="57" t="s">
        <v>387</v>
      </c>
      <c r="J33" s="55" t="s">
        <v>388</v>
      </c>
      <c r="K33" s="55" t="s">
        <v>389</v>
      </c>
      <c r="L33" s="55" t="s">
        <v>390</v>
      </c>
    </row>
    <row r="34" spans="1:14" ht="39" customHeight="1">
      <c r="A34" s="6"/>
      <c r="B34" s="6"/>
      <c r="C34" s="6"/>
      <c r="D34" s="6"/>
      <c r="E34" s="6"/>
      <c r="F34" s="6"/>
      <c r="G34" s="6"/>
      <c r="H34" s="6"/>
      <c r="I34" s="57" t="s">
        <v>391</v>
      </c>
      <c r="J34" s="55" t="s">
        <v>401</v>
      </c>
      <c r="K34" s="62" t="s">
        <v>392</v>
      </c>
      <c r="L34" s="55"/>
    </row>
    <row r="35" spans="1:14" ht="39" customHeight="1">
      <c r="A35" s="6"/>
      <c r="B35" s="6"/>
      <c r="C35" s="6"/>
      <c r="D35" s="6"/>
      <c r="E35" s="6"/>
      <c r="F35" s="6"/>
      <c r="G35" s="6"/>
      <c r="H35" s="6"/>
      <c r="I35" s="57"/>
      <c r="J35" s="55"/>
      <c r="K35" s="55"/>
      <c r="L35" s="55"/>
    </row>
    <row r="36" spans="1:14" ht="39" customHeight="1">
      <c r="A36" s="6"/>
      <c r="B36" s="6"/>
      <c r="C36" s="6"/>
      <c r="D36" s="6"/>
      <c r="E36" s="6"/>
      <c r="F36" s="6"/>
      <c r="G36" s="6"/>
      <c r="H36" s="6"/>
      <c r="I36" s="57" t="s">
        <v>379</v>
      </c>
      <c r="J36" s="61">
        <v>0.5</v>
      </c>
      <c r="K36" s="61">
        <v>0.5</v>
      </c>
      <c r="L36" s="61">
        <v>0.5</v>
      </c>
      <c r="N36" s="6"/>
    </row>
    <row r="37" spans="1:14" ht="28">
      <c r="A37" s="6"/>
      <c r="B37" s="6"/>
      <c r="C37" s="6"/>
      <c r="D37" s="6"/>
      <c r="E37" s="6"/>
      <c r="F37" s="6"/>
      <c r="G37" s="6"/>
      <c r="H37" s="6"/>
      <c r="I37" s="57" t="s">
        <v>383</v>
      </c>
      <c r="J37" s="55" t="s">
        <v>396</v>
      </c>
      <c r="K37" s="55" t="s">
        <v>386</v>
      </c>
      <c r="L37" s="55" t="s">
        <v>396</v>
      </c>
      <c r="M37" s="6"/>
      <c r="N37" s="6"/>
    </row>
    <row r="38" spans="1:14" ht="17">
      <c r="A38" s="6"/>
      <c r="B38" s="6"/>
      <c r="C38" s="6"/>
      <c r="D38" s="6"/>
      <c r="E38" s="6"/>
      <c r="F38" s="6"/>
      <c r="G38" s="6"/>
      <c r="H38" s="6"/>
      <c r="I38" s="57" t="s">
        <v>387</v>
      </c>
      <c r="J38" s="55" t="s">
        <v>397</v>
      </c>
      <c r="K38" s="55" t="s">
        <v>389</v>
      </c>
      <c r="L38" s="55" t="s">
        <v>398</v>
      </c>
      <c r="M38" s="6"/>
      <c r="N38" s="6"/>
    </row>
    <row r="39" spans="1:14" ht="28">
      <c r="A39" s="6"/>
      <c r="B39" s="6"/>
      <c r="C39" s="6"/>
      <c r="D39" s="6"/>
      <c r="E39" s="6"/>
      <c r="F39" s="6"/>
      <c r="G39" s="6"/>
      <c r="H39" s="6"/>
      <c r="I39" s="57" t="s">
        <v>422</v>
      </c>
      <c r="J39" s="55" t="s">
        <v>402</v>
      </c>
      <c r="K39" s="62" t="s">
        <v>423</v>
      </c>
      <c r="L39" s="62" t="s">
        <v>425</v>
      </c>
      <c r="M39" s="6"/>
      <c r="N39" s="6"/>
    </row>
    <row r="40" spans="1:14" ht="28">
      <c r="A40" s="6"/>
      <c r="B40" s="6"/>
      <c r="C40" s="6"/>
      <c r="D40" s="6"/>
      <c r="E40" s="6"/>
      <c r="F40" s="6"/>
      <c r="G40" s="6"/>
      <c r="H40" s="6"/>
      <c r="I40" s="57" t="s">
        <v>391</v>
      </c>
      <c r="J40" s="55" t="s">
        <v>401</v>
      </c>
      <c r="K40" s="62" t="s">
        <v>392</v>
      </c>
      <c r="L40" s="62" t="s">
        <v>424</v>
      </c>
      <c r="M40" s="6"/>
      <c r="N40" s="6"/>
    </row>
    <row r="41" spans="1:14">
      <c r="A41" s="6"/>
      <c r="B41" s="6"/>
      <c r="C41" s="6"/>
      <c r="D41" s="6"/>
      <c r="E41" s="6"/>
      <c r="F41" s="6"/>
      <c r="G41" s="6"/>
      <c r="H41" s="6"/>
      <c r="I41" s="57"/>
      <c r="J41" s="55"/>
      <c r="K41" s="55"/>
      <c r="L41" s="55"/>
      <c r="M41" s="6"/>
      <c r="N41" s="6"/>
    </row>
    <row r="42" spans="1:14" ht="17">
      <c r="A42" s="6"/>
      <c r="B42" s="6"/>
      <c r="C42" s="6"/>
      <c r="D42" s="6"/>
      <c r="E42" s="6"/>
      <c r="F42" s="6"/>
      <c r="G42" s="6"/>
      <c r="H42" s="6"/>
      <c r="I42" s="57" t="s">
        <v>379</v>
      </c>
      <c r="J42" s="61">
        <v>0.1</v>
      </c>
      <c r="K42" s="61">
        <v>0.1</v>
      </c>
      <c r="L42" s="61">
        <v>0.95</v>
      </c>
      <c r="M42" s="6"/>
      <c r="N42" s="6"/>
    </row>
    <row r="43" spans="1:14" ht="28">
      <c r="A43" s="6"/>
      <c r="B43" s="6"/>
      <c r="C43" s="6"/>
      <c r="D43" s="6"/>
      <c r="E43" s="6"/>
      <c r="F43" s="6"/>
      <c r="G43" s="6"/>
      <c r="H43" s="6"/>
      <c r="I43" s="57" t="s">
        <v>383</v>
      </c>
      <c r="J43" s="55" t="s">
        <v>396</v>
      </c>
      <c r="K43" s="55" t="s">
        <v>386</v>
      </c>
      <c r="L43" s="55" t="s">
        <v>396</v>
      </c>
      <c r="M43" s="6"/>
      <c r="N43" s="6"/>
    </row>
    <row r="44" spans="1:14" ht="17">
      <c r="A44" s="6"/>
      <c r="B44" s="6"/>
      <c r="C44" s="6"/>
      <c r="D44" s="6"/>
      <c r="E44" s="6"/>
      <c r="F44" s="6"/>
      <c r="G44" s="6"/>
      <c r="H44" s="6"/>
      <c r="I44" s="57" t="s">
        <v>387</v>
      </c>
      <c r="J44" s="55" t="s">
        <v>388</v>
      </c>
      <c r="K44" s="55" t="s">
        <v>399</v>
      </c>
      <c r="L44" s="55" t="s">
        <v>390</v>
      </c>
      <c r="M44" s="6"/>
      <c r="N44" s="6"/>
    </row>
    <row r="45" spans="1:14" ht="17">
      <c r="A45" s="6"/>
      <c r="B45" s="6"/>
      <c r="C45" s="6"/>
      <c r="D45" s="6"/>
      <c r="E45" s="6"/>
      <c r="F45" s="6"/>
      <c r="G45" s="6"/>
      <c r="H45" s="6"/>
      <c r="I45" s="57" t="s">
        <v>400</v>
      </c>
      <c r="J45" s="55" t="s">
        <v>403</v>
      </c>
      <c r="K45" s="62"/>
      <c r="L45" s="55"/>
      <c r="M45" s="6"/>
      <c r="N45" s="6"/>
    </row>
    <row r="46" spans="1:14">
      <c r="A46" s="6"/>
      <c r="B46" s="6"/>
      <c r="C46" s="6"/>
      <c r="D46" s="6"/>
      <c r="E46" s="6"/>
      <c r="F46" s="6"/>
      <c r="G46" s="6"/>
      <c r="H46" s="6"/>
      <c r="I46" s="6"/>
      <c r="J46" s="6"/>
      <c r="K46" s="6"/>
      <c r="L46" s="6"/>
      <c r="M46" s="6"/>
      <c r="N46" s="6"/>
    </row>
    <row r="47" spans="1:14">
      <c r="A47" s="6"/>
      <c r="B47" s="6"/>
      <c r="C47" s="6"/>
      <c r="D47" s="6"/>
      <c r="E47" s="6"/>
      <c r="F47" s="6"/>
      <c r="G47" s="6"/>
      <c r="H47" s="6"/>
      <c r="I47" s="93" t="s">
        <v>419</v>
      </c>
      <c r="J47" s="93"/>
      <c r="K47" s="93"/>
      <c r="L47" s="93"/>
      <c r="M47" s="6"/>
      <c r="N47" s="6"/>
    </row>
    <row r="48" spans="1:14">
      <c r="A48" s="6"/>
      <c r="B48" s="6"/>
      <c r="C48" s="6"/>
      <c r="D48" s="6"/>
      <c r="E48" s="6"/>
      <c r="F48" s="6"/>
      <c r="G48" s="6"/>
      <c r="H48" s="6"/>
      <c r="I48" s="6"/>
      <c r="M48" s="6"/>
      <c r="N48" s="6"/>
    </row>
    <row r="49" spans="1:14" ht="17">
      <c r="A49" s="6"/>
      <c r="B49" s="6"/>
      <c r="C49" s="6"/>
      <c r="D49" s="6"/>
      <c r="E49" s="6"/>
      <c r="F49" s="6"/>
      <c r="G49" s="6"/>
      <c r="H49" s="6"/>
      <c r="I49" s="57" t="s">
        <v>379</v>
      </c>
      <c r="J49" s="61">
        <v>0.5</v>
      </c>
      <c r="K49" s="61">
        <v>0.5</v>
      </c>
      <c r="L49" s="61">
        <v>0.5</v>
      </c>
      <c r="M49" s="6"/>
      <c r="N49" s="6"/>
    </row>
    <row r="50" spans="1:14" ht="28">
      <c r="A50" s="6"/>
      <c r="B50" s="6"/>
      <c r="C50" s="6"/>
      <c r="D50" s="6"/>
      <c r="E50" s="6"/>
      <c r="F50" s="6"/>
      <c r="G50" s="6"/>
      <c r="H50" s="6"/>
      <c r="I50" s="57" t="s">
        <v>383</v>
      </c>
      <c r="J50" s="55" t="s">
        <v>421</v>
      </c>
      <c r="K50" s="55" t="s">
        <v>386</v>
      </c>
      <c r="L50" s="55" t="s">
        <v>420</v>
      </c>
      <c r="M50" s="6"/>
      <c r="N50" s="6"/>
    </row>
    <row r="51" spans="1:14" ht="17">
      <c r="A51" s="6"/>
      <c r="B51" s="6"/>
      <c r="C51" s="6"/>
      <c r="D51" s="6"/>
      <c r="E51" s="6"/>
      <c r="F51" s="6"/>
      <c r="G51" s="6"/>
      <c r="H51" s="6"/>
      <c r="I51" s="57" t="s">
        <v>387</v>
      </c>
      <c r="J51" s="55" t="s">
        <v>388</v>
      </c>
      <c r="K51" s="55" t="s">
        <v>389</v>
      </c>
      <c r="L51" s="55" t="s">
        <v>390</v>
      </c>
      <c r="M51" s="6"/>
      <c r="N51" s="6"/>
    </row>
    <row r="52" spans="1:14" ht="28">
      <c r="A52" s="6"/>
      <c r="B52" s="6"/>
      <c r="C52" s="6"/>
      <c r="D52" s="6"/>
      <c r="E52" s="6"/>
      <c r="F52" s="6"/>
      <c r="G52" s="6"/>
      <c r="H52" s="6"/>
      <c r="I52" s="57" t="s">
        <v>391</v>
      </c>
      <c r="J52" s="55" t="s">
        <v>401</v>
      </c>
      <c r="K52" s="62" t="s">
        <v>392</v>
      </c>
      <c r="L52" s="62" t="s">
        <v>424</v>
      </c>
      <c r="M52" s="6"/>
      <c r="N52" s="6"/>
    </row>
    <row r="53" spans="1:14" ht="28">
      <c r="A53" s="6"/>
      <c r="B53" s="6"/>
      <c r="C53" s="6"/>
      <c r="D53" s="6"/>
      <c r="E53" s="6"/>
      <c r="F53" s="6"/>
      <c r="G53" s="6"/>
      <c r="H53" s="6"/>
      <c r="I53" s="57" t="s">
        <v>422</v>
      </c>
      <c r="J53" s="55" t="s">
        <v>402</v>
      </c>
      <c r="K53" s="62" t="s">
        <v>423</v>
      </c>
      <c r="L53" s="62" t="s">
        <v>425</v>
      </c>
      <c r="M53" s="6"/>
      <c r="N53" s="6"/>
    </row>
    <row r="54" spans="1:14">
      <c r="A54" s="6"/>
      <c r="B54" s="6"/>
      <c r="C54" s="6"/>
      <c r="D54" s="6"/>
      <c r="E54" s="6"/>
      <c r="F54" s="6"/>
      <c r="G54" s="6"/>
      <c r="H54" s="6"/>
      <c r="I54" s="6"/>
      <c r="J54" s="6"/>
      <c r="K54" s="6"/>
      <c r="L54" s="6"/>
      <c r="M54" s="6"/>
      <c r="N54" s="6"/>
    </row>
    <row r="55" spans="1:14">
      <c r="A55" s="6"/>
      <c r="B55" s="6"/>
      <c r="C55" s="6"/>
      <c r="D55" s="6"/>
      <c r="E55" s="6"/>
      <c r="F55" s="6"/>
      <c r="G55" s="6"/>
      <c r="H55" s="6"/>
      <c r="I55" s="6"/>
      <c r="J55" s="6"/>
      <c r="K55" s="6"/>
      <c r="L55" s="6"/>
      <c r="M55" s="6"/>
      <c r="N55" s="6"/>
    </row>
    <row r="56" spans="1:14">
      <c r="A56" s="6"/>
      <c r="B56" s="6"/>
      <c r="C56" s="6"/>
      <c r="D56" s="6"/>
      <c r="E56" s="6"/>
      <c r="F56" s="6"/>
      <c r="G56" s="6"/>
      <c r="H56" s="6"/>
      <c r="I56" s="6"/>
      <c r="J56" s="6"/>
      <c r="K56" s="6"/>
      <c r="L56" s="6"/>
      <c r="M56" s="6"/>
      <c r="N56" s="6"/>
    </row>
    <row r="57" spans="1:14">
      <c r="A57" s="6"/>
      <c r="B57" s="6"/>
      <c r="C57" s="6"/>
      <c r="D57" s="6"/>
      <c r="E57" s="6"/>
      <c r="F57" s="6"/>
      <c r="G57" s="6"/>
      <c r="H57" s="6"/>
      <c r="I57" s="6"/>
      <c r="J57" s="6"/>
      <c r="K57" s="6"/>
      <c r="L57" s="6"/>
      <c r="M57" s="6"/>
      <c r="N57" s="6"/>
    </row>
    <row r="58" spans="1:14">
      <c r="A58" s="6"/>
      <c r="B58" s="6"/>
      <c r="C58" s="6"/>
      <c r="D58" s="6"/>
      <c r="E58" s="6"/>
      <c r="F58" s="6"/>
      <c r="G58" s="6"/>
      <c r="H58" s="6"/>
      <c r="I58" s="6"/>
      <c r="J58" s="6"/>
      <c r="K58" s="6"/>
      <c r="L58" s="6"/>
      <c r="M58" s="6"/>
      <c r="N58" s="6"/>
    </row>
    <row r="59" spans="1:14">
      <c r="A59" s="6"/>
      <c r="B59" s="6"/>
      <c r="C59" s="6"/>
      <c r="D59" s="6"/>
      <c r="E59" s="6"/>
      <c r="F59" s="6"/>
      <c r="G59" s="6"/>
      <c r="H59" s="6"/>
      <c r="I59" s="6"/>
      <c r="J59" s="6"/>
      <c r="K59" s="6"/>
      <c r="L59" s="6"/>
      <c r="M59" s="6"/>
      <c r="N59" s="6"/>
    </row>
    <row r="60" spans="1:14">
      <c r="A60" s="6"/>
      <c r="B60" s="6"/>
      <c r="C60" s="6"/>
      <c r="D60" s="6"/>
      <c r="E60" s="6"/>
      <c r="F60" s="6"/>
      <c r="G60" s="6"/>
      <c r="H60" s="6"/>
      <c r="I60" s="6"/>
      <c r="J60" s="6"/>
      <c r="K60" s="6"/>
      <c r="L60" s="6"/>
      <c r="M60" s="6"/>
      <c r="N60" s="6"/>
    </row>
    <row r="61" spans="1:14">
      <c r="A61" s="6"/>
      <c r="B61" s="6"/>
      <c r="C61" s="6"/>
      <c r="D61" s="6"/>
      <c r="E61" s="6"/>
      <c r="F61" s="6"/>
      <c r="G61" s="6"/>
      <c r="H61" s="6"/>
      <c r="I61" s="6"/>
      <c r="J61" s="6"/>
      <c r="K61" s="6"/>
      <c r="L61" s="6"/>
      <c r="M61" s="6"/>
      <c r="N61" s="6"/>
    </row>
  </sheetData>
  <mergeCells count="3">
    <mergeCell ref="A19:A20"/>
    <mergeCell ref="I29:L29"/>
    <mergeCell ref="I47:L4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3A4B8-03E1-8F47-A654-49287922FEC9}">
  <dimension ref="B2:J21"/>
  <sheetViews>
    <sheetView topLeftCell="A5" zoomScale="187" workbookViewId="0">
      <selection activeCell="C21" sqref="C21"/>
    </sheetView>
  </sheetViews>
  <sheetFormatPr baseColWidth="10" defaultRowHeight="16"/>
  <cols>
    <col min="2" max="2" width="4.5" style="63" customWidth="1"/>
    <col min="9" max="9" width="4.33203125" style="67" customWidth="1"/>
  </cols>
  <sheetData>
    <row r="2" spans="2:10" ht="26">
      <c r="B2" s="65" t="s">
        <v>439</v>
      </c>
    </row>
    <row r="4" spans="2:10">
      <c r="B4" s="66" t="s">
        <v>440</v>
      </c>
    </row>
    <row r="5" spans="2:10">
      <c r="C5" t="s">
        <v>443</v>
      </c>
      <c r="I5" s="68" t="s">
        <v>449</v>
      </c>
    </row>
    <row r="7" spans="2:10">
      <c r="B7" s="63">
        <v>1</v>
      </c>
      <c r="C7" t="s">
        <v>442</v>
      </c>
      <c r="I7" s="67">
        <v>1</v>
      </c>
      <c r="J7" t="s">
        <v>450</v>
      </c>
    </row>
    <row r="8" spans="2:10">
      <c r="B8" s="63">
        <v>2</v>
      </c>
      <c r="C8" t="s">
        <v>452</v>
      </c>
      <c r="I8" s="67">
        <v>2</v>
      </c>
      <c r="J8" t="s">
        <v>451</v>
      </c>
    </row>
    <row r="9" spans="2:10">
      <c r="B9" s="63">
        <v>3</v>
      </c>
      <c r="C9" t="s">
        <v>453</v>
      </c>
    </row>
    <row r="10" spans="2:10">
      <c r="B10" s="63">
        <v>4</v>
      </c>
      <c r="C10" t="s">
        <v>444</v>
      </c>
    </row>
    <row r="12" spans="2:10">
      <c r="C12" t="s">
        <v>441</v>
      </c>
    </row>
    <row r="14" spans="2:10">
      <c r="B14" s="63">
        <v>1</v>
      </c>
      <c r="C14" t="s">
        <v>447</v>
      </c>
    </row>
    <row r="15" spans="2:10">
      <c r="B15" s="63">
        <v>2</v>
      </c>
      <c r="C15" t="s">
        <v>446</v>
      </c>
    </row>
    <row r="16" spans="2:10">
      <c r="B16" s="63">
        <v>3</v>
      </c>
      <c r="C16" t="s">
        <v>445</v>
      </c>
    </row>
    <row r="18" spans="2:3">
      <c r="B18" s="64" t="s">
        <v>448</v>
      </c>
    </row>
    <row r="19" spans="2:3">
      <c r="B19" s="63">
        <v>1</v>
      </c>
      <c r="C19" t="s">
        <v>454</v>
      </c>
    </row>
    <row r="20" spans="2:3">
      <c r="B20" s="63">
        <v>2</v>
      </c>
      <c r="C20" t="s">
        <v>456</v>
      </c>
    </row>
    <row r="21" spans="2:3">
      <c r="B21" s="63">
        <v>3</v>
      </c>
      <c r="C21" t="s">
        <v>455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D2502-0F1B-8E4C-91C2-32C74D9C1A25}">
  <dimension ref="B1:D12"/>
  <sheetViews>
    <sheetView zoomScale="133" workbookViewId="0">
      <selection activeCell="C12" sqref="C12"/>
    </sheetView>
  </sheetViews>
  <sheetFormatPr baseColWidth="10" defaultRowHeight="16"/>
  <cols>
    <col min="1" max="1" width="4.1640625" customWidth="1"/>
    <col min="2" max="2" width="3.6640625" customWidth="1"/>
    <col min="3" max="3" width="29.1640625" bestFit="1" customWidth="1"/>
    <col min="4" max="4" width="19.6640625" customWidth="1"/>
  </cols>
  <sheetData>
    <row r="1" spans="2:4">
      <c r="B1" t="s">
        <v>463</v>
      </c>
      <c r="D1" t="s">
        <v>171</v>
      </c>
    </row>
    <row r="2" spans="2:4">
      <c r="B2" t="s">
        <v>393</v>
      </c>
      <c r="C2" t="s">
        <v>466</v>
      </c>
    </row>
    <row r="3" spans="2:4">
      <c r="B3" t="s">
        <v>394</v>
      </c>
      <c r="C3" t="s">
        <v>467</v>
      </c>
    </row>
    <row r="5" spans="2:4">
      <c r="B5" t="s">
        <v>464</v>
      </c>
    </row>
    <row r="6" spans="2:4">
      <c r="B6" t="s">
        <v>393</v>
      </c>
      <c r="C6" t="s">
        <v>465</v>
      </c>
    </row>
    <row r="8" spans="2:4">
      <c r="C8" t="s">
        <v>468</v>
      </c>
      <c r="D8" t="s">
        <v>471</v>
      </c>
    </row>
    <row r="9" spans="2:4">
      <c r="C9" t="s">
        <v>469</v>
      </c>
      <c r="D9" t="s">
        <v>470</v>
      </c>
    </row>
    <row r="12" spans="2:4">
      <c r="B12" t="s">
        <v>394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55DDE-A2FE-0D45-A488-8AC5E3F87096}">
  <dimension ref="A2:H4"/>
  <sheetViews>
    <sheetView zoomScale="200" workbookViewId="0">
      <selection activeCell="B3" sqref="B3"/>
    </sheetView>
  </sheetViews>
  <sheetFormatPr baseColWidth="10" defaultRowHeight="16"/>
  <cols>
    <col min="1" max="1" width="4" customWidth="1"/>
  </cols>
  <sheetData>
    <row r="2" spans="1:8">
      <c r="B2" s="69" t="s">
        <v>457</v>
      </c>
      <c r="H2" s="69" t="s">
        <v>474</v>
      </c>
    </row>
    <row r="3" spans="1:8">
      <c r="A3">
        <v>1</v>
      </c>
      <c r="B3" t="s">
        <v>472</v>
      </c>
    </row>
    <row r="4" spans="1:8">
      <c r="A4">
        <v>2</v>
      </c>
      <c r="B4" t="s">
        <v>473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CF04-0EAB-754F-B918-77C56774BDCB}">
  <dimension ref="B2:B22"/>
  <sheetViews>
    <sheetView zoomScale="150" workbookViewId="0">
      <selection activeCell="B25" sqref="B25"/>
    </sheetView>
  </sheetViews>
  <sheetFormatPr baseColWidth="10" defaultRowHeight="16"/>
  <cols>
    <col min="1" max="1" width="3.5" customWidth="1"/>
  </cols>
  <sheetData>
    <row r="2" spans="2:2">
      <c r="B2" t="s">
        <v>475</v>
      </c>
    </row>
    <row r="3" spans="2:2">
      <c r="B3" t="s">
        <v>483</v>
      </c>
    </row>
    <row r="5" spans="2:2">
      <c r="B5" t="s">
        <v>476</v>
      </c>
    </row>
    <row r="6" spans="2:2">
      <c r="B6" t="s">
        <v>477</v>
      </c>
    </row>
    <row r="7" spans="2:2">
      <c r="B7" t="s">
        <v>478</v>
      </c>
    </row>
    <row r="8" spans="2:2">
      <c r="B8" t="s">
        <v>479</v>
      </c>
    </row>
    <row r="9" spans="2:2">
      <c r="B9" t="s">
        <v>480</v>
      </c>
    </row>
    <row r="10" spans="2:2">
      <c r="B10" t="s">
        <v>481</v>
      </c>
    </row>
    <row r="12" spans="2:2">
      <c r="B12" t="s">
        <v>482</v>
      </c>
    </row>
    <row r="14" spans="2:2">
      <c r="B14" t="s">
        <v>484</v>
      </c>
    </row>
    <row r="15" spans="2:2">
      <c r="B15" t="s">
        <v>485</v>
      </c>
    </row>
    <row r="17" spans="2:2">
      <c r="B17" t="s">
        <v>490</v>
      </c>
    </row>
    <row r="19" spans="2:2">
      <c r="B19" t="s">
        <v>486</v>
      </c>
    </row>
    <row r="20" spans="2:2">
      <c r="B20" t="s">
        <v>487</v>
      </c>
    </row>
    <row r="21" spans="2:2">
      <c r="B21" t="s">
        <v>488</v>
      </c>
    </row>
    <row r="22" spans="2:2">
      <c r="B22" t="s">
        <v>489</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0A9B-574C-5441-8052-4B0D96BCF7B8}">
  <dimension ref="B2:H25"/>
  <sheetViews>
    <sheetView zoomScale="139" workbookViewId="0">
      <selection activeCell="B2" sqref="B2"/>
    </sheetView>
  </sheetViews>
  <sheetFormatPr baseColWidth="10" defaultRowHeight="16"/>
  <cols>
    <col min="2" max="2" width="9.6640625" customWidth="1"/>
    <col min="3" max="3" width="23.6640625" customWidth="1"/>
    <col min="5" max="5" width="15.33203125" customWidth="1"/>
    <col min="6" max="6" width="16.83203125" customWidth="1"/>
  </cols>
  <sheetData>
    <row r="2" spans="2:8">
      <c r="B2" t="s">
        <v>500</v>
      </c>
      <c r="C2" t="s">
        <v>501</v>
      </c>
    </row>
    <row r="3" spans="2:8">
      <c r="G3" s="67" t="s">
        <v>499</v>
      </c>
    </row>
    <row r="4" spans="2:8">
      <c r="C4" s="63" t="s">
        <v>495</v>
      </c>
      <c r="D4" s="63" t="s">
        <v>13</v>
      </c>
      <c r="E4" s="63" t="s">
        <v>14</v>
      </c>
      <c r="F4" s="63" t="s">
        <v>494</v>
      </c>
      <c r="G4" s="67">
        <v>0.95</v>
      </c>
    </row>
    <row r="5" spans="2:8">
      <c r="C5" s="63" t="s">
        <v>493</v>
      </c>
      <c r="D5" s="63" t="s">
        <v>13</v>
      </c>
      <c r="E5" s="63" t="s">
        <v>14</v>
      </c>
      <c r="F5" s="63" t="s">
        <v>492</v>
      </c>
      <c r="G5" s="67">
        <v>0.05</v>
      </c>
    </row>
    <row r="6" spans="2:8">
      <c r="C6" s="63"/>
      <c r="D6" s="63"/>
      <c r="E6" s="63"/>
      <c r="F6" s="63"/>
      <c r="G6" s="67"/>
    </row>
    <row r="7" spans="2:8">
      <c r="B7" t="s">
        <v>502</v>
      </c>
      <c r="C7" s="70" t="s">
        <v>505</v>
      </c>
      <c r="D7" s="63"/>
      <c r="E7" s="63"/>
      <c r="F7" s="63"/>
      <c r="G7" s="67"/>
    </row>
    <row r="8" spans="2:8">
      <c r="C8" s="63"/>
      <c r="D8" s="63" t="s">
        <v>373</v>
      </c>
      <c r="E8" s="63" t="s">
        <v>496</v>
      </c>
      <c r="F8" s="63"/>
      <c r="G8" s="67" t="s">
        <v>498</v>
      </c>
    </row>
    <row r="9" spans="2:8">
      <c r="C9" s="63" t="s">
        <v>491</v>
      </c>
      <c r="D9" s="63">
        <v>0.95</v>
      </c>
      <c r="E9" s="63">
        <v>0.05</v>
      </c>
      <c r="F9" s="63" t="s">
        <v>497</v>
      </c>
      <c r="G9" s="67">
        <v>0.05</v>
      </c>
      <c r="H9" t="s">
        <v>503</v>
      </c>
    </row>
    <row r="11" spans="2:8">
      <c r="B11" t="s">
        <v>504</v>
      </c>
      <c r="C11" t="s">
        <v>506</v>
      </c>
    </row>
    <row r="12" spans="2:8">
      <c r="C12" s="63"/>
      <c r="D12" s="63" t="s">
        <v>373</v>
      </c>
      <c r="E12" s="63" t="s">
        <v>496</v>
      </c>
      <c r="F12" s="63"/>
      <c r="G12" s="67" t="s">
        <v>498</v>
      </c>
    </row>
    <row r="13" spans="2:8">
      <c r="C13" s="63" t="s">
        <v>491</v>
      </c>
      <c r="D13" s="63">
        <v>0.95</v>
      </c>
      <c r="E13" s="63">
        <v>0.05</v>
      </c>
      <c r="F13" s="63" t="s">
        <v>497</v>
      </c>
      <c r="G13" s="67">
        <v>0.05</v>
      </c>
      <c r="H13" t="s">
        <v>509</v>
      </c>
    </row>
    <row r="15" spans="2:8">
      <c r="B15" t="s">
        <v>507</v>
      </c>
      <c r="C15" t="s">
        <v>508</v>
      </c>
    </row>
    <row r="16" spans="2:8">
      <c r="G16" s="67" t="s">
        <v>499</v>
      </c>
    </row>
    <row r="17" spans="3:8">
      <c r="C17" s="63" t="s">
        <v>495</v>
      </c>
      <c r="D17" s="63" t="s">
        <v>13</v>
      </c>
      <c r="E17" s="63" t="s">
        <v>14</v>
      </c>
      <c r="F17" s="63" t="s">
        <v>494</v>
      </c>
      <c r="G17" s="67">
        <v>0.5</v>
      </c>
    </row>
    <row r="18" spans="3:8">
      <c r="C18" s="63" t="s">
        <v>493</v>
      </c>
      <c r="D18" s="63" t="s">
        <v>13</v>
      </c>
      <c r="E18" s="63" t="s">
        <v>14</v>
      </c>
      <c r="F18" s="63" t="s">
        <v>492</v>
      </c>
      <c r="G18" s="67">
        <v>0.5</v>
      </c>
    </row>
    <row r="20" spans="3:8">
      <c r="C20" s="70" t="s">
        <v>510</v>
      </c>
      <c r="D20" s="63"/>
      <c r="E20" s="63"/>
      <c r="F20" s="63"/>
      <c r="G20" s="67"/>
    </row>
    <row r="21" spans="3:8">
      <c r="C21" s="63"/>
      <c r="D21" s="63" t="s">
        <v>373</v>
      </c>
      <c r="E21" s="63" t="s">
        <v>496</v>
      </c>
      <c r="F21" s="63"/>
      <c r="G21" s="67" t="s">
        <v>498</v>
      </c>
    </row>
    <row r="22" spans="3:8">
      <c r="C22" s="63" t="s">
        <v>491</v>
      </c>
      <c r="D22" s="63">
        <v>0.5</v>
      </c>
      <c r="E22" s="63">
        <v>0.5</v>
      </c>
      <c r="F22" s="63" t="s">
        <v>497</v>
      </c>
      <c r="G22" s="67">
        <v>0.5</v>
      </c>
      <c r="H22" t="s">
        <v>509</v>
      </c>
    </row>
    <row r="24" spans="3:8" ht="43" customHeight="1">
      <c r="C24" s="71" t="s">
        <v>511</v>
      </c>
      <c r="D24" s="71"/>
      <c r="E24" s="71"/>
      <c r="F24" s="71"/>
      <c r="G24" s="71"/>
    </row>
    <row r="25" spans="3:8" ht="80" customHeight="1">
      <c r="C25" s="71" t="s">
        <v>512</v>
      </c>
      <c r="D25" s="71"/>
      <c r="E25" s="71"/>
      <c r="F25" s="71"/>
      <c r="G25" s="71"/>
    </row>
  </sheetData>
  <mergeCells count="2">
    <mergeCell ref="C25:G25"/>
    <mergeCell ref="C24:G2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FB43E-77B2-C342-86C5-6A72B72B7B3C}">
  <dimension ref="A3:V19"/>
  <sheetViews>
    <sheetView tabSelected="1" zoomScale="125" workbookViewId="0">
      <selection activeCell="G8" sqref="G8"/>
    </sheetView>
  </sheetViews>
  <sheetFormatPr baseColWidth="10" defaultRowHeight="16"/>
  <cols>
    <col min="1" max="1" width="51.6640625" customWidth="1"/>
    <col min="2" max="2" width="6.1640625" customWidth="1"/>
    <col min="3" max="3" width="7.33203125" bestFit="1" customWidth="1"/>
    <col min="5" max="5" width="29.83203125" bestFit="1" customWidth="1"/>
    <col min="6" max="6" width="5.5" bestFit="1" customWidth="1"/>
    <col min="7" max="7" width="4.1640625" customWidth="1"/>
    <col min="10" max="10" width="3.5" bestFit="1" customWidth="1"/>
    <col min="11" max="11" width="4.5" bestFit="1" customWidth="1"/>
    <col min="12" max="12" width="6.1640625" bestFit="1" customWidth="1"/>
    <col min="15" max="15" width="11" customWidth="1"/>
    <col min="17" max="17" width="9.1640625" customWidth="1"/>
  </cols>
  <sheetData>
    <row r="3" spans="1:22">
      <c r="A3" s="94" t="s">
        <v>520</v>
      </c>
      <c r="B3" s="103" t="s">
        <v>220</v>
      </c>
      <c r="C3" s="95" t="s">
        <v>519</v>
      </c>
      <c r="D3" s="95"/>
      <c r="E3" s="96" t="s">
        <v>191</v>
      </c>
      <c r="F3" s="96"/>
      <c r="G3" s="96"/>
      <c r="H3" s="96"/>
      <c r="I3" s="96"/>
      <c r="J3" s="96"/>
      <c r="K3" s="96"/>
      <c r="L3" s="99"/>
      <c r="M3" s="99"/>
      <c r="N3" s="97"/>
      <c r="O3" s="97"/>
      <c r="P3" s="97"/>
      <c r="Q3" s="97"/>
      <c r="R3" s="97"/>
      <c r="S3" s="97"/>
      <c r="T3" s="97"/>
      <c r="U3" s="97"/>
      <c r="V3" s="97"/>
    </row>
    <row r="4" spans="1:22" s="67" customFormat="1">
      <c r="C4" s="98" t="s">
        <v>140</v>
      </c>
      <c r="D4" s="98" t="s">
        <v>521</v>
      </c>
      <c r="E4" s="98" t="s">
        <v>539</v>
      </c>
      <c r="F4" s="104" t="s">
        <v>140</v>
      </c>
      <c r="G4" s="104"/>
      <c r="H4" s="104"/>
      <c r="I4" s="106" t="s">
        <v>521</v>
      </c>
      <c r="J4" s="106"/>
      <c r="K4" s="108" t="s">
        <v>529</v>
      </c>
      <c r="L4" s="108"/>
      <c r="M4" s="108"/>
      <c r="N4" s="110" t="s">
        <v>530</v>
      </c>
      <c r="O4" s="110"/>
      <c r="P4" s="110"/>
      <c r="Q4" s="110"/>
      <c r="R4" s="110"/>
      <c r="S4" s="110"/>
      <c r="T4" s="110"/>
      <c r="U4" s="110"/>
      <c r="V4" s="110"/>
    </row>
    <row r="5" spans="1:22" s="67" customFormat="1">
      <c r="C5" s="98"/>
      <c r="D5" s="98"/>
      <c r="F5" s="105" t="s">
        <v>531</v>
      </c>
      <c r="G5" s="105" t="s">
        <v>555</v>
      </c>
      <c r="H5" s="105" t="s">
        <v>140</v>
      </c>
      <c r="I5" s="107" t="s">
        <v>521</v>
      </c>
      <c r="J5" s="107" t="s">
        <v>537</v>
      </c>
      <c r="K5" s="109" t="s">
        <v>531</v>
      </c>
      <c r="L5" s="109" t="s">
        <v>555</v>
      </c>
      <c r="M5" s="109" t="s">
        <v>529</v>
      </c>
      <c r="N5" s="111" t="s">
        <v>528</v>
      </c>
      <c r="O5" s="111" t="s">
        <v>532</v>
      </c>
      <c r="P5" s="111" t="s">
        <v>547</v>
      </c>
      <c r="Q5" s="111" t="s">
        <v>369</v>
      </c>
      <c r="R5" s="111" t="s">
        <v>556</v>
      </c>
      <c r="S5" s="111" t="s">
        <v>557</v>
      </c>
      <c r="T5" s="111" t="s">
        <v>559</v>
      </c>
      <c r="U5" s="111" t="s">
        <v>558</v>
      </c>
      <c r="V5" s="111" t="s">
        <v>190</v>
      </c>
    </row>
    <row r="6" spans="1:22">
      <c r="C6" s="69"/>
      <c r="D6" s="69"/>
      <c r="F6" s="69"/>
      <c r="G6" s="69"/>
      <c r="H6" s="69"/>
      <c r="I6" s="69"/>
      <c r="J6" s="69"/>
      <c r="K6" s="69"/>
      <c r="L6" s="69"/>
      <c r="M6" s="69"/>
    </row>
    <row r="7" spans="1:22">
      <c r="A7" t="s">
        <v>522</v>
      </c>
      <c r="B7" t="s">
        <v>564</v>
      </c>
      <c r="C7" t="s">
        <v>534</v>
      </c>
      <c r="D7" t="s">
        <v>470</v>
      </c>
      <c r="E7" t="s">
        <v>518</v>
      </c>
      <c r="F7" t="s">
        <v>518</v>
      </c>
      <c r="G7" t="s">
        <v>534</v>
      </c>
      <c r="H7" t="s">
        <v>513</v>
      </c>
      <c r="I7" t="s">
        <v>517</v>
      </c>
      <c r="J7" t="s">
        <v>518</v>
      </c>
      <c r="K7" t="s">
        <v>518</v>
      </c>
      <c r="L7" t="s">
        <v>518</v>
      </c>
      <c r="M7" t="s">
        <v>518</v>
      </c>
      <c r="N7" t="s">
        <v>518</v>
      </c>
      <c r="O7" t="s">
        <v>518</v>
      </c>
      <c r="P7" t="s">
        <v>518</v>
      </c>
      <c r="Q7" t="s">
        <v>518</v>
      </c>
      <c r="R7" t="s">
        <v>518</v>
      </c>
      <c r="S7" t="s">
        <v>518</v>
      </c>
      <c r="T7" t="s">
        <v>518</v>
      </c>
      <c r="U7" t="s">
        <v>518</v>
      </c>
      <c r="V7" t="s">
        <v>518</v>
      </c>
    </row>
    <row r="8" spans="1:22">
      <c r="A8" t="s">
        <v>523</v>
      </c>
      <c r="B8" t="s">
        <v>564</v>
      </c>
      <c r="C8" t="s">
        <v>518</v>
      </c>
      <c r="D8" t="s">
        <v>518</v>
      </c>
      <c r="E8" t="s">
        <v>518</v>
      </c>
      <c r="F8" t="s">
        <v>524</v>
      </c>
      <c r="G8" t="s">
        <v>518</v>
      </c>
      <c r="H8" t="s">
        <v>515</v>
      </c>
      <c r="I8" t="s">
        <v>516</v>
      </c>
      <c r="J8" t="s">
        <v>518</v>
      </c>
      <c r="K8" t="s">
        <v>518</v>
      </c>
      <c r="L8" t="s">
        <v>518</v>
      </c>
      <c r="M8" t="s">
        <v>518</v>
      </c>
      <c r="N8" t="s">
        <v>518</v>
      </c>
      <c r="O8" t="s">
        <v>518</v>
      </c>
      <c r="P8" t="s">
        <v>518</v>
      </c>
      <c r="Q8" t="s">
        <v>518</v>
      </c>
      <c r="R8" t="s">
        <v>518</v>
      </c>
      <c r="S8" t="s">
        <v>518</v>
      </c>
      <c r="T8" t="s">
        <v>518</v>
      </c>
      <c r="U8" t="s">
        <v>518</v>
      </c>
      <c r="V8" t="s">
        <v>518</v>
      </c>
    </row>
    <row r="9" spans="1:22">
      <c r="A9" t="s">
        <v>525</v>
      </c>
      <c r="B9" t="s">
        <v>564</v>
      </c>
      <c r="C9" t="s">
        <v>518</v>
      </c>
      <c r="D9" t="s">
        <v>518</v>
      </c>
      <c r="E9" t="s">
        <v>518</v>
      </c>
      <c r="F9" t="s">
        <v>524</v>
      </c>
      <c r="G9" t="s">
        <v>518</v>
      </c>
      <c r="H9" t="s">
        <v>526</v>
      </c>
      <c r="I9" t="s">
        <v>527</v>
      </c>
      <c r="J9" t="s">
        <v>518</v>
      </c>
      <c r="K9" t="s">
        <v>518</v>
      </c>
      <c r="L9" t="s">
        <v>518</v>
      </c>
      <c r="M9" t="s">
        <v>518</v>
      </c>
      <c r="N9" t="s">
        <v>518</v>
      </c>
      <c r="O9" t="s">
        <v>518</v>
      </c>
      <c r="P9" t="s">
        <v>518</v>
      </c>
      <c r="Q9" t="s">
        <v>518</v>
      </c>
      <c r="R9" t="s">
        <v>518</v>
      </c>
      <c r="S9" t="s">
        <v>518</v>
      </c>
      <c r="T9" t="s">
        <v>518</v>
      </c>
      <c r="U9" t="s">
        <v>518</v>
      </c>
      <c r="V9" t="s">
        <v>518</v>
      </c>
    </row>
    <row r="10" spans="1:22">
      <c r="A10" t="s">
        <v>533</v>
      </c>
      <c r="B10" t="s">
        <v>564</v>
      </c>
      <c r="C10" t="s">
        <v>518</v>
      </c>
      <c r="D10" t="s">
        <v>518</v>
      </c>
      <c r="E10" t="s">
        <v>540</v>
      </c>
      <c r="F10" t="s">
        <v>518</v>
      </c>
      <c r="G10" t="s">
        <v>518</v>
      </c>
      <c r="H10" t="s">
        <v>534</v>
      </c>
      <c r="I10" t="s">
        <v>535</v>
      </c>
      <c r="J10" t="s">
        <v>536</v>
      </c>
      <c r="K10" t="s">
        <v>518</v>
      </c>
      <c r="L10" t="s">
        <v>518</v>
      </c>
      <c r="M10" t="s">
        <v>518</v>
      </c>
      <c r="N10" t="s">
        <v>518</v>
      </c>
      <c r="O10" t="s">
        <v>551</v>
      </c>
      <c r="P10" t="s">
        <v>518</v>
      </c>
      <c r="Q10" t="s">
        <v>518</v>
      </c>
      <c r="R10" t="s">
        <v>518</v>
      </c>
      <c r="S10" t="s">
        <v>518</v>
      </c>
      <c r="T10" t="s">
        <v>518</v>
      </c>
      <c r="U10" t="s">
        <v>518</v>
      </c>
      <c r="V10" t="s">
        <v>518</v>
      </c>
    </row>
    <row r="11" spans="1:22">
      <c r="A11" s="100" t="s">
        <v>538</v>
      </c>
      <c r="B11" t="s">
        <v>564</v>
      </c>
      <c r="C11" t="s">
        <v>518</v>
      </c>
      <c r="D11" t="s">
        <v>518</v>
      </c>
      <c r="E11" s="101" t="s">
        <v>545</v>
      </c>
      <c r="F11" t="s">
        <v>518</v>
      </c>
      <c r="G11" t="s">
        <v>518</v>
      </c>
      <c r="H11" t="s">
        <v>534</v>
      </c>
      <c r="I11" t="s">
        <v>541</v>
      </c>
      <c r="J11" t="s">
        <v>544</v>
      </c>
      <c r="K11" t="s">
        <v>518</v>
      </c>
      <c r="L11" t="s">
        <v>518</v>
      </c>
      <c r="M11" t="s">
        <v>518</v>
      </c>
      <c r="N11" t="s">
        <v>518</v>
      </c>
      <c r="O11" t="s">
        <v>518</v>
      </c>
      <c r="P11" t="s">
        <v>518</v>
      </c>
      <c r="Q11" t="s">
        <v>518</v>
      </c>
      <c r="R11" t="s">
        <v>518</v>
      </c>
      <c r="S11" t="s">
        <v>518</v>
      </c>
      <c r="T11" t="s">
        <v>518</v>
      </c>
      <c r="U11" t="s">
        <v>518</v>
      </c>
      <c r="V11" t="s">
        <v>518</v>
      </c>
    </row>
    <row r="12" spans="1:22">
      <c r="A12" s="100"/>
      <c r="B12" s="102" t="s">
        <v>218</v>
      </c>
      <c r="C12" t="s">
        <v>518</v>
      </c>
      <c r="D12" t="s">
        <v>518</v>
      </c>
      <c r="E12" s="101"/>
      <c r="F12" t="s">
        <v>518</v>
      </c>
      <c r="G12" t="s">
        <v>518</v>
      </c>
      <c r="H12" t="s">
        <v>534</v>
      </c>
      <c r="I12" t="s">
        <v>542</v>
      </c>
      <c r="J12" t="s">
        <v>536</v>
      </c>
      <c r="K12" t="s">
        <v>561</v>
      </c>
      <c r="L12" t="s">
        <v>546</v>
      </c>
      <c r="M12" t="s">
        <v>543</v>
      </c>
      <c r="N12" t="s">
        <v>518</v>
      </c>
      <c r="O12" t="s">
        <v>518</v>
      </c>
      <c r="P12" t="s">
        <v>518</v>
      </c>
      <c r="Q12" t="s">
        <v>518</v>
      </c>
      <c r="R12" t="s">
        <v>518</v>
      </c>
      <c r="S12" t="s">
        <v>518</v>
      </c>
      <c r="T12" t="s">
        <v>518</v>
      </c>
      <c r="U12" t="s">
        <v>518</v>
      </c>
      <c r="V12" t="s">
        <v>518</v>
      </c>
    </row>
    <row r="13" spans="1:22">
      <c r="A13" t="s">
        <v>548</v>
      </c>
      <c r="B13" t="s">
        <v>564</v>
      </c>
      <c r="C13" t="s">
        <v>518</v>
      </c>
      <c r="D13" t="s">
        <v>518</v>
      </c>
      <c r="E13" t="s">
        <v>518</v>
      </c>
      <c r="F13" t="s">
        <v>518</v>
      </c>
      <c r="G13" t="s">
        <v>518</v>
      </c>
      <c r="H13" t="s">
        <v>549</v>
      </c>
      <c r="I13" t="s">
        <v>550</v>
      </c>
      <c r="J13" t="s">
        <v>518</v>
      </c>
      <c r="K13" t="s">
        <v>518</v>
      </c>
      <c r="L13" t="s">
        <v>518</v>
      </c>
      <c r="M13" t="s">
        <v>518</v>
      </c>
      <c r="N13" t="s">
        <v>518</v>
      </c>
      <c r="O13" t="s">
        <v>518</v>
      </c>
      <c r="P13" t="s">
        <v>552</v>
      </c>
      <c r="Q13" t="s">
        <v>518</v>
      </c>
      <c r="R13" t="s">
        <v>518</v>
      </c>
      <c r="S13" t="s">
        <v>518</v>
      </c>
      <c r="T13" t="s">
        <v>518</v>
      </c>
      <c r="U13" t="s">
        <v>518</v>
      </c>
      <c r="V13" t="s">
        <v>518</v>
      </c>
    </row>
    <row r="14" spans="1:22">
      <c r="A14" t="s">
        <v>553</v>
      </c>
      <c r="B14" t="s">
        <v>564</v>
      </c>
      <c r="C14" t="s">
        <v>518</v>
      </c>
      <c r="D14" t="s">
        <v>518</v>
      </c>
      <c r="E14" t="s">
        <v>518</v>
      </c>
      <c r="F14" t="s">
        <v>554</v>
      </c>
      <c r="G14" t="s">
        <v>534</v>
      </c>
      <c r="H14" t="s">
        <v>513</v>
      </c>
      <c r="I14" t="s">
        <v>514</v>
      </c>
      <c r="J14" t="s">
        <v>518</v>
      </c>
      <c r="K14" t="s">
        <v>518</v>
      </c>
      <c r="L14" t="s">
        <v>518</v>
      </c>
      <c r="M14" t="s">
        <v>518</v>
      </c>
      <c r="N14" t="s">
        <v>518</v>
      </c>
      <c r="O14" t="s">
        <v>518</v>
      </c>
      <c r="P14" t="s">
        <v>518</v>
      </c>
      <c r="Q14" t="s">
        <v>518</v>
      </c>
      <c r="R14" t="s">
        <v>518</v>
      </c>
      <c r="S14" t="s">
        <v>518</v>
      </c>
      <c r="T14" t="s">
        <v>518</v>
      </c>
      <c r="U14" t="s">
        <v>518</v>
      </c>
      <c r="V14" t="s">
        <v>518</v>
      </c>
    </row>
    <row r="15" spans="1:22">
      <c r="A15" t="s">
        <v>560</v>
      </c>
      <c r="B15" t="s">
        <v>564</v>
      </c>
      <c r="C15" t="s">
        <v>518</v>
      </c>
      <c r="D15" t="s">
        <v>518</v>
      </c>
      <c r="E15" t="s">
        <v>518</v>
      </c>
      <c r="F15" t="s">
        <v>561</v>
      </c>
      <c r="G15" t="s">
        <v>518</v>
      </c>
      <c r="H15" t="s">
        <v>562</v>
      </c>
      <c r="I15" t="s">
        <v>518</v>
      </c>
      <c r="J15" t="s">
        <v>518</v>
      </c>
      <c r="K15" t="s">
        <v>518</v>
      </c>
      <c r="L15" t="s">
        <v>518</v>
      </c>
      <c r="M15" t="s">
        <v>518</v>
      </c>
      <c r="N15" t="s">
        <v>563</v>
      </c>
      <c r="O15" t="s">
        <v>518</v>
      </c>
      <c r="P15" t="s">
        <v>518</v>
      </c>
      <c r="Q15" t="s">
        <v>518</v>
      </c>
      <c r="R15" t="s">
        <v>518</v>
      </c>
      <c r="S15" t="s">
        <v>518</v>
      </c>
      <c r="T15" t="s">
        <v>518</v>
      </c>
      <c r="U15" t="s">
        <v>518</v>
      </c>
      <c r="V15" t="s">
        <v>518</v>
      </c>
    </row>
    <row r="16" spans="1:22">
      <c r="A16" t="s">
        <v>565</v>
      </c>
      <c r="B16" t="s">
        <v>564</v>
      </c>
      <c r="C16" t="s">
        <v>518</v>
      </c>
      <c r="D16" t="s">
        <v>518</v>
      </c>
      <c r="E16" t="s">
        <v>540</v>
      </c>
      <c r="F16" t="s">
        <v>561</v>
      </c>
      <c r="G16" t="s">
        <v>518</v>
      </c>
      <c r="H16" t="s">
        <v>566</v>
      </c>
      <c r="I16" t="s">
        <v>567</v>
      </c>
      <c r="J16" t="s">
        <v>518</v>
      </c>
      <c r="K16" t="s">
        <v>518</v>
      </c>
      <c r="L16" t="s">
        <v>518</v>
      </c>
      <c r="M16" t="s">
        <v>518</v>
      </c>
      <c r="N16" t="s">
        <v>518</v>
      </c>
      <c r="O16" t="s">
        <v>518</v>
      </c>
      <c r="P16" t="s">
        <v>518</v>
      </c>
      <c r="Q16" t="s">
        <v>518</v>
      </c>
      <c r="R16" t="s">
        <v>518</v>
      </c>
      <c r="S16" t="s">
        <v>518</v>
      </c>
      <c r="T16" t="s">
        <v>568</v>
      </c>
      <c r="U16" t="s">
        <v>518</v>
      </c>
      <c r="V16" t="s">
        <v>518</v>
      </c>
    </row>
    <row r="17" spans="1:22">
      <c r="A17" t="s">
        <v>569</v>
      </c>
      <c r="B17" t="s">
        <v>564</v>
      </c>
      <c r="C17" t="s">
        <v>518</v>
      </c>
      <c r="D17" t="s">
        <v>518</v>
      </c>
      <c r="E17" t="s">
        <v>518</v>
      </c>
      <c r="F17" t="s">
        <v>518</v>
      </c>
      <c r="G17" t="s">
        <v>518</v>
      </c>
      <c r="H17" t="s">
        <v>534</v>
      </c>
      <c r="I17" t="s">
        <v>570</v>
      </c>
      <c r="J17" t="s">
        <v>518</v>
      </c>
      <c r="K17" t="s">
        <v>518</v>
      </c>
      <c r="L17" t="s">
        <v>518</v>
      </c>
      <c r="M17" t="s">
        <v>518</v>
      </c>
      <c r="N17" t="s">
        <v>518</v>
      </c>
      <c r="O17" t="s">
        <v>518</v>
      </c>
      <c r="P17" t="s">
        <v>518</v>
      </c>
      <c r="Q17" t="s">
        <v>518</v>
      </c>
      <c r="R17" t="s">
        <v>518</v>
      </c>
      <c r="S17" t="s">
        <v>518</v>
      </c>
      <c r="T17" t="s">
        <v>518</v>
      </c>
      <c r="U17" t="s">
        <v>571</v>
      </c>
      <c r="V17" t="s">
        <v>518</v>
      </c>
    </row>
    <row r="18" spans="1:22">
      <c r="A18" t="s">
        <v>572</v>
      </c>
      <c r="B18" t="s">
        <v>564</v>
      </c>
      <c r="C18" t="s">
        <v>518</v>
      </c>
      <c r="D18" t="s">
        <v>518</v>
      </c>
      <c r="E18" t="s">
        <v>518</v>
      </c>
      <c r="F18" t="s">
        <v>561</v>
      </c>
      <c r="G18" t="s">
        <v>534</v>
      </c>
      <c r="H18" t="s">
        <v>573</v>
      </c>
      <c r="I18" t="s">
        <v>574</v>
      </c>
      <c r="J18" t="s">
        <v>518</v>
      </c>
      <c r="K18" t="s">
        <v>518</v>
      </c>
      <c r="L18" t="s">
        <v>518</v>
      </c>
      <c r="M18" t="s">
        <v>518</v>
      </c>
      <c r="N18" t="s">
        <v>518</v>
      </c>
      <c r="O18" t="s">
        <v>518</v>
      </c>
      <c r="P18" t="s">
        <v>518</v>
      </c>
      <c r="Q18" t="s">
        <v>518</v>
      </c>
      <c r="R18" t="s">
        <v>518</v>
      </c>
      <c r="S18" t="s">
        <v>518</v>
      </c>
      <c r="T18" t="s">
        <v>518</v>
      </c>
      <c r="U18" t="s">
        <v>518</v>
      </c>
      <c r="V18" t="s">
        <v>575</v>
      </c>
    </row>
    <row r="19" spans="1:22">
      <c r="A19" t="s">
        <v>578</v>
      </c>
      <c r="B19" t="s">
        <v>564</v>
      </c>
      <c r="C19" t="s">
        <v>518</v>
      </c>
      <c r="D19" t="s">
        <v>518</v>
      </c>
      <c r="E19" t="s">
        <v>518</v>
      </c>
      <c r="F19" t="s">
        <v>518</v>
      </c>
      <c r="G19" t="s">
        <v>518</v>
      </c>
      <c r="H19" t="s">
        <v>534</v>
      </c>
      <c r="I19" t="s">
        <v>576</v>
      </c>
      <c r="J19" t="s">
        <v>518</v>
      </c>
      <c r="K19" t="s">
        <v>561</v>
      </c>
      <c r="L19" t="s">
        <v>534</v>
      </c>
      <c r="M19" t="s">
        <v>577</v>
      </c>
      <c r="N19" t="s">
        <v>518</v>
      </c>
      <c r="O19" t="s">
        <v>518</v>
      </c>
      <c r="P19" t="s">
        <v>518</v>
      </c>
      <c r="Q19" t="s">
        <v>518</v>
      </c>
      <c r="R19" t="s">
        <v>518</v>
      </c>
      <c r="S19" t="s">
        <v>518</v>
      </c>
      <c r="T19" t="s">
        <v>518</v>
      </c>
      <c r="U19" t="s">
        <v>518</v>
      </c>
      <c r="V19" t="s">
        <v>518</v>
      </c>
    </row>
  </sheetData>
  <mergeCells count="8">
    <mergeCell ref="C3:D3"/>
    <mergeCell ref="E3:K3"/>
    <mergeCell ref="N4:V4"/>
    <mergeCell ref="F4:H4"/>
    <mergeCell ref="I4:J4"/>
    <mergeCell ref="A11:A12"/>
    <mergeCell ref="E11:E12"/>
    <mergeCell ref="K4:M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General schema</vt:lpstr>
      <vt:lpstr>Key Concepts</vt:lpstr>
      <vt:lpstr>LL</vt:lpstr>
      <vt:lpstr>Components</vt:lpstr>
      <vt:lpstr>Test sheet Similarity</vt:lpstr>
      <vt:lpstr>Test sheet LL</vt:lpstr>
      <vt:lpstr>Compiler</vt:lpstr>
      <vt:lpstr>Examples</vt:lpstr>
      <vt:lpstr>Problems</vt:lpstr>
      <vt:lpstr>Next step</vt:lpstr>
      <vt:lpstr>Inconsistencies</vt:lpstr>
      <vt:lpstr>TKZIP2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Renzo Sala || mediac.one</dc:creator>
  <cp:lastModifiedBy>Renzo Sala</cp:lastModifiedBy>
  <dcterms:created xsi:type="dcterms:W3CDTF">2026-03-30T08:40:48Z</dcterms:created>
  <dcterms:modified xsi:type="dcterms:W3CDTF">2026-07-30T02:48:01Z</dcterms:modified>
</cp:coreProperties>
</file>